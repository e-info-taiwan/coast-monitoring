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xr:revisionPtr revIDLastSave="0" documentId="13_ncr:1_{6D9FD658-4193-BA44-A78D-16326CD316A4}" xr6:coauthVersionLast="47" xr6:coauthVersionMax="47" xr10:uidLastSave="{00000000-0000-0000-0000-000000000000}"/>
  <bookViews>
    <workbookView xWindow="0" yWindow="500" windowWidth="33600" windowHeight="20500" activeTab="0" xr2:uid="{00000000-000D-0000-FFFF-FFFF00000000}"/>
  </bookViews>
  <sheets>
    <sheet name="DATA" sheetId="9" r:id="rId1"/>
    <sheet name="GRAPHS" sheetId="11" r:id="rId2"/>
    <sheet name="GRAPHS_SI" sheetId="10" r:id="rId3"/>
    <sheet name="EXPORT" sheetId="6" r:id="rId4"/>
    <sheet name="使用指引" sheetId="7" r:id="rId5"/>
    <sheet name="siteName" sheetId="8" r:id="rId6"/>
  </sheets>
  <definedNames>
    <definedName name="seg_1">DATA!$B$15:$B$34,DATA!$D$15:$D$34</definedName>
    <definedName name="seg_2">DATA!$F$15:$F$34,DATA!$H$15:$H$34</definedName>
    <definedName name="seg_3">DATA!$J$15:$J$34,DATA!$L$15:$L$34</definedName>
    <definedName name="seg_4">DATA!$N$15:$N$34,DATA!$P$15:$P$34</definedName>
  </definedName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<sst xmlns="http://schemas.openxmlformats.org/spreadsheetml/2006/main" count="318" uniqueCount="318">
  <si>
    <t>如何使用 DATA 表單</t>
  </si>
  <si>
    <t>1. 請將調查資料輸入指定表格中，若發現有些表格無法編輯，代表該區域不需編輯，已被鎖定</t>
  </si>
  <si>
    <t>2. 底質請用數字輸入，數字前後不可以有空白或是其他符號</t>
  </si>
  <si>
    <t>請再次確認您輸入的數值是否正確</t>
  </si>
  <si>
    <r>
      <t xml:space="preserve">3. </t>
    </r>
    <r>
      <rPr>
        <sz val="12"/>
        <rFont val="Microsoft JhengHei"/>
        <family val="2"/>
        <charset val="136"/>
      </rPr>
      <t>在每一個子樣區（共四區）分別有</t>
    </r>
    <r>
      <rPr>
        <sz val="12"/>
        <rFont val="Arial"/>
        <family val="2"/>
      </rPr>
      <t xml:space="preserve"> 40 </t>
    </r>
    <r>
      <rPr>
        <sz val="12"/>
        <rFont val="Microsoft JhengHei"/>
        <family val="2"/>
        <charset val="136"/>
      </rPr>
      <t>個數值需要輸入，請確認每一欄的區間，以免輸錯欄位</t>
    </r>
    <phoneticPr fontId="23" type="noConversion"/>
  </si>
  <si>
    <t>4. 強烈建議輸入完成後第二次檢查，核對所有輸入資料</t>
  </si>
  <si>
    <t>如果某區間的數值總數少於 40 個怎麼辦？（表單會自動計算，並顯示）</t>
  </si>
  <si>
    <r>
      <t xml:space="preserve">5. </t>
    </r>
    <r>
      <rPr>
        <sz val="12"/>
        <rFont val="Microsoft JhengHei"/>
        <family val="2"/>
        <charset val="136"/>
      </rPr>
      <t>您可能輸入錯誤的數值，例如：</t>
    </r>
    <r>
      <rPr>
        <sz val="12"/>
        <rFont val="Arial"/>
        <family val="2"/>
      </rPr>
      <t>0 =&gt; 10</t>
    </r>
    <r>
      <rPr>
        <sz val="12"/>
        <rFont val="Microsoft JhengHei"/>
        <family val="2"/>
        <charset val="136"/>
      </rPr>
      <t>，或是數字旁邊有空白鍵</t>
    </r>
    <phoneticPr fontId="23" type="noConversion"/>
  </si>
  <si>
    <t>如何在 GRAPHS 表單 分析 DATA 表單</t>
  </si>
  <si>
    <r>
      <rPr>
        <sz val="12"/>
        <color rgb="FF000000"/>
        <rFont val="Arial"/>
        <family val="2"/>
      </rPr>
      <t xml:space="preserve">1. 當您資料輸入完成，將會同步且自動的計算在 </t>
    </r>
    <r>
      <rPr>
        <b/>
        <u/>
        <sz val="12"/>
        <color rgb="FF000000"/>
        <rFont val="Arial"/>
        <family val="2"/>
      </rPr>
      <t>GRAPHS</t>
    </r>
    <r>
      <rPr>
        <sz val="12"/>
        <color rgb="FF000000"/>
        <rFont val="Arial"/>
        <family val="2"/>
      </rPr>
      <t xml:space="preserve"> 表單</t>
    </r>
  </si>
  <si>
    <r>
      <t xml:space="preserve">2. </t>
    </r>
    <r>
      <rPr>
        <sz val="11"/>
        <color rgb="FF000000"/>
        <rFont val="Microsoft JhengHei"/>
        <family val="2"/>
        <charset val="136"/>
      </rPr>
      <t>請將這些檔案寄到</t>
    </r>
    <r>
      <rPr>
        <sz val="11"/>
        <color rgb="FF000000"/>
        <rFont val="Calibri"/>
        <family val="2"/>
        <charset val="1"/>
      </rPr>
      <t xml:space="preserve"> rcdata@reefcheck.org</t>
    </r>
    <phoneticPr fontId="23" type="noConversion"/>
  </si>
  <si>
    <t>2. 您只要將地點 潛點、日期、調查深度、替換掉圖上標題的藍色字體，並修改成黑色字體即可</t>
  </si>
  <si>
    <t>3. 您的資料分析完畢後就可以列印，或是複製到 word 文件去編輯</t>
  </si>
  <si>
    <t>如何寄出資料</t>
  </si>
  <si>
    <t>1. 首先您要用我們的格式來命名表單檔名（用英文）</t>
  </si>
  <si>
    <t>site name, date (dd-mm-yy), datasheet type (site, belt, or line), depth (s or m for shallow, 2 – 6 m, or medium &gt;6 – 12  m).  Site description sheet should just have: site name date (dd-mm-yy) site</t>
  </si>
  <si>
    <r>
      <rPr>
        <sz val="12"/>
        <rFont val="Microsoft JhengHei"/>
        <family val="2"/>
      </rPr>
      <t>樣點中英文轉換請參考</t>
    </r>
    <r>
      <rPr>
        <b/>
        <sz val="12"/>
        <rFont val="Arial"/>
        <family val="2"/>
      </rPr>
      <t xml:space="preserve"> siteName</t>
    </r>
    <r>
      <rPr>
        <sz val="12"/>
        <rFont val="Microsoft JhengHei"/>
        <family val="2"/>
      </rPr>
      <t>工作表單</t>
    </r>
    <phoneticPr fontId="23" type="noConversion"/>
  </si>
  <si>
    <t>例如：LongDong4 02-06-24 belt s</t>
  </si>
  <si>
    <t>For example, if we did a survey at Paradise Reef on December 13, 2002 at 3m and 11m:</t>
  </si>
  <si>
    <t>Paradise 13-12-02 site</t>
  </si>
  <si>
    <t>Paradise 13-12-02 belt s</t>
  </si>
  <si>
    <t>Paradise 13-12-02 belt m</t>
  </si>
  <si>
    <t>Paradise 13-12-02 line s</t>
  </si>
  <si>
    <t>Paradise 13-12-02 line m</t>
  </si>
  <si>
    <t>1. 一份完整報告包含一份潛點資料和兩個深度的調查資料，總共有 5 個資料表</t>
  </si>
  <si>
    <t>2. 將資料寄到 rcdata@reefcheck.org</t>
  </si>
  <si>
    <t>如何解釋圖表</t>
  </si>
  <si>
    <t xml:space="preserve">底質圖表顯示了珊瑚礁底質類別覆蓋百分比，每個柱狀圖上的條形被稱為「誤差棒」，代表標準誤差（SE）。標準誤差告訴我們，此數據在多大程度上代表現實世界（我們的樣本均值有多準確地估計了母體均值）。當標準誤差低時，數據精確，並且密切代表了你在珊瑚礁中取樣的真實情況。當標準誤差高時，數據不能準確地代表真實世界。為了增加精度，降低標準誤差，可以進行更多的重複實驗（更多的珊瑚礁檢查）。
</t>
  </si>
  <si>
    <t>當這些SE誤差棒彼此重疊時，百分比覆蓋中的差異在統計上不具有顯著性（不論均值有多大不同）。當這些SE誤差棒不重疊時，底質百分比覆蓋的差異可能在統計上具有顯著性。</t>
  </si>
  <si>
    <t>另一個有用的測量指標是標準差（SD），它是根據「DATA」工作表計算的。標準差告訴我們觀察值在平均值周圍分佈的廣度，也就是樣本的變異程度。然而，標準差並未告訴我們樣本均值有多準確地估計了母體均值。</t>
  </si>
  <si>
    <t>如果你要確定差異是否在統計上顯著，就需要進行進一步的統計測試，例如對於具有常態分佈的數據，可以使用  t-test or ANOVA ，而對於非常態分佈的數據，則可以使用Kruskal-Wallis or Mann-Whitney U test 等。如果發現統計上的差異，可能需要進行事後檢驗，以確定統計上的差異所在。</t>
  </si>
  <si>
    <t>請記住，我們最感興趣的是珊瑚礁的變化是否在生態上有意義，在某些情況下，僅僅查看圖表可能已經足夠了。</t>
  </si>
  <si>
    <t>Useful Publications:</t>
  </si>
  <si>
    <t>For a really basic, but very good, stats primer, try "The Statistical Sleuth - A Course in Methods of Data Analysis", by F. Ramsey and D. Schafer, 2002, Duxbury Press.</t>
  </si>
  <si>
    <t>For ANOVAs, try "Experiments in ecology: their logical design and interpretation using analysis of variance" by A. J. Underwood, 1997, Cambridge University Press.</t>
  </si>
  <si>
    <t>For general stats, "Experimental Design and Data Analysis for Biologists", by G. P. Quinn and M. J. Keough, 2002, Cambridge University Press.</t>
  </si>
  <si>
    <t>樣點名稱</t>
  </si>
  <si>
    <t>Site Name</t>
    <phoneticPr fontId="23" type="noConversion"/>
  </si>
  <si>
    <t>野柳</t>
  </si>
  <si>
    <t>Yeliu</t>
  </si>
  <si>
    <t>潮境保育區</t>
  </si>
  <si>
    <t>Chaojing protected area</t>
  </si>
  <si>
    <t>番仔澳</t>
  </si>
  <si>
    <t>FanCai'ao</t>
  </si>
  <si>
    <t>鼻頭角</t>
  </si>
  <si>
    <t>Bitoujiao</t>
  </si>
  <si>
    <t>龍洞1.5號</t>
  </si>
  <si>
    <t>Longdong 1.5</t>
  </si>
  <si>
    <t>龍洞4號-北</t>
  </si>
  <si>
    <t>Longdong 4 North</t>
  </si>
  <si>
    <t>龍洞4號-南</t>
  </si>
  <si>
    <t>Longdong 4 South</t>
  </si>
  <si>
    <t>和平島</t>
  </si>
  <si>
    <t>Heping Island</t>
  </si>
  <si>
    <t>合界</t>
  </si>
  <si>
    <t>Hejie</t>
  </si>
  <si>
    <t>後壁湖</t>
  </si>
  <si>
    <t>Houbihu</t>
  </si>
  <si>
    <t>石梯坪</t>
  </si>
  <si>
    <t>Shitiping</t>
  </si>
  <si>
    <t>基翬</t>
  </si>
  <si>
    <t>GiHaw</t>
  </si>
  <si>
    <t>杉原中礁</t>
  </si>
  <si>
    <t>Shanyuan middle reef</t>
  </si>
  <si>
    <t>杉原南礁</t>
  </si>
  <si>
    <t>Shanyuan southern reef</t>
  </si>
  <si>
    <t>杉原</t>
  </si>
  <si>
    <t>Shanyuan</t>
  </si>
  <si>
    <t>加母子灣</t>
  </si>
  <si>
    <t>Jiamuzi Bay</t>
  </si>
  <si>
    <t>東嶼坪西</t>
  </si>
  <si>
    <t>Dongyuping west</t>
  </si>
  <si>
    <t>東嶼坪東</t>
  </si>
  <si>
    <t>Dongyuping east</t>
  </si>
  <si>
    <t>東嶼坪南</t>
  </si>
  <si>
    <t>Dongyuping south</t>
  </si>
  <si>
    <t>西嶼坪東側</t>
  </si>
  <si>
    <t>Eastern Xiyuping Island</t>
  </si>
  <si>
    <t>西嶼坪南側</t>
  </si>
  <si>
    <t>WesternIsletS</t>
  </si>
  <si>
    <t>東嶼坪北側</t>
  </si>
  <si>
    <t>North Dongyuping Island</t>
  </si>
  <si>
    <t>西嶼坪北側</t>
  </si>
  <si>
    <t>North Xiyuping Island</t>
  </si>
  <si>
    <t>杭灣</t>
  </si>
  <si>
    <t>HangWan</t>
  </si>
  <si>
    <t>山水港</t>
  </si>
  <si>
    <t>Shanshui port</t>
  </si>
  <si>
    <t>美人洞</t>
  </si>
  <si>
    <t>Beauty Cave</t>
  </si>
  <si>
    <t>漁埕尾</t>
  </si>
  <si>
    <t>Yuchengwei</t>
  </si>
  <si>
    <t>厚石裙礁</t>
  </si>
  <si>
    <t>Houshi fringing reef</t>
  </si>
  <si>
    <t>杉福</t>
  </si>
  <si>
    <t>Shanfu</t>
  </si>
  <si>
    <t>柴口</t>
  </si>
  <si>
    <t>Chaikou</t>
  </si>
  <si>
    <t>公館</t>
  </si>
  <si>
    <t>Gongguan</t>
  </si>
  <si>
    <t>將軍岩</t>
  </si>
  <si>
    <t>General rock</t>
  </si>
  <si>
    <t>石朗</t>
  </si>
  <si>
    <t>Shihlang</t>
  </si>
  <si>
    <t>龜灣</t>
  </si>
  <si>
    <t>Turtle bay</t>
  </si>
  <si>
    <t>大白沙</t>
  </si>
  <si>
    <t>Dabaisha</t>
  </si>
  <si>
    <t>沈箱</t>
  </si>
  <si>
    <t>ChenShiang</t>
  </si>
  <si>
    <t>玉女岩</t>
  </si>
  <si>
    <t>Beauty Rock</t>
  </si>
  <si>
    <t>母雞岩</t>
  </si>
  <si>
    <t>Hen Rock</t>
  </si>
  <si>
    <t>南獅</t>
  </si>
  <si>
    <t>Lion Couple Rock south</t>
  </si>
  <si>
    <t>東清小涼亭</t>
  </si>
  <si>
    <t>DongJing pavilion</t>
  </si>
  <si>
    <t>曙光礁</t>
  </si>
  <si>
    <t>Shuguang Reef</t>
  </si>
  <si>
    <r>
      <t xml:space="preserve">PLEASE SELECT WHICH GRAPHS YOU WANT TO USE FROM THE FOLLOWING OPTIONS AND COMPLETE THE TITLE WHERE INDICATED IN </t>
    </r>
    <r>
      <rPr>
        <sz val="10"/>
        <color indexed="48"/>
        <rFont val="Arial"/>
        <family val="2"/>
      </rPr>
      <t>BLUE</t>
    </r>
    <r>
      <rPr>
        <sz val="10"/>
        <color indexed="10"/>
        <rFont val="Arial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</t>
    </r>
  </si>
  <si>
    <t>Reef Check Summary Data</t>
  </si>
  <si>
    <t xml:space="preserve">TO CHANGE THE TEXT TO BLACK, SELECT THE TEXT, GO TO THE TEXT COLOUR BOX IN THE FORMATTING TOOLBAR AND SELECT BLACK. </t>
  </si>
  <si>
    <t>DO NOT TYPE IN THE BOXES BELOW</t>
  </si>
  <si>
    <t xml:space="preserve">Reef Check Summary Graphs </t>
  </si>
  <si>
    <t>%</t>
  </si>
  <si>
    <t>SE</t>
  </si>
  <si>
    <t>HC</t>
  </si>
  <si>
    <t>SC</t>
  </si>
  <si>
    <r>
      <t xml:space="preserve">Mean Percent cover of Substrate for </t>
    </r>
    <r>
      <rPr>
        <b/>
        <u/>
        <sz val="12"/>
        <color indexed="48"/>
        <rFont val="Arial"/>
        <family val="2"/>
      </rPr>
      <t>&lt;&lt;RC reef name, depth and date&gt;&gt;</t>
    </r>
  </si>
  <si>
    <t>RKC</t>
  </si>
  <si>
    <t>NIA</t>
  </si>
  <si>
    <t>SP</t>
  </si>
  <si>
    <t>RC</t>
  </si>
  <si>
    <t>RB</t>
  </si>
  <si>
    <t>SD</t>
  </si>
  <si>
    <t>SI</t>
  </si>
  <si>
    <t>OT</t>
  </si>
  <si>
    <t>Check the Total = 100</t>
  </si>
  <si>
    <t>Live reef cover</t>
  </si>
  <si>
    <t>Non-living reef cover</t>
  </si>
  <si>
    <t>Normal</t>
    <phoneticPr fontId="23" type="noConversion"/>
  </si>
  <si>
    <t>Bleaching</t>
    <phoneticPr fontId="23" type="noConversion"/>
  </si>
  <si>
    <t>HC</t>
    <phoneticPr fontId="23" type="noConversion"/>
  </si>
  <si>
    <t>SC</t>
    <phoneticPr fontId="23" type="noConversion"/>
  </si>
  <si>
    <t>Site name:
調查點名稱：</t>
  </si>
  <si>
    <t xml:space="preserve">Country/Island:
國家/島嶼： </t>
  </si>
  <si>
    <t>台灣</t>
  </si>
  <si>
    <t>請輸入</t>
    <phoneticPr fontId="23" type="noConversion"/>
  </si>
  <si>
    <t>底質類別</t>
    <phoneticPr fontId="23" type="noConversion"/>
  </si>
  <si>
    <t>底質類別縮寫</t>
    <phoneticPr fontId="23" type="noConversion"/>
  </si>
  <si>
    <t>Depth(m):
深度：</t>
    <phoneticPr fontId="23" type="noConversion"/>
  </si>
  <si>
    <t>Date:
日期：</t>
  </si>
  <si>
    <t>硬珊瑚</t>
  </si>
  <si>
    <t>TS/TL:
調查隊長：</t>
    <phoneticPr fontId="23" type="noConversion"/>
  </si>
  <si>
    <t>Data recorded by:  
紀錄者中文全名：</t>
    <phoneticPr fontId="1" type="noConversion"/>
  </si>
  <si>
    <t>軟珊瑚</t>
    <phoneticPr fontId="23" type="noConversion"/>
  </si>
  <si>
    <t>Time:(24h)
時間</t>
    <phoneticPr fontId="23" type="noConversion"/>
  </si>
  <si>
    <t>Visibility 能見度(m)：</t>
    <phoneticPr fontId="1" type="noConversion"/>
  </si>
  <si>
    <t>新死珊瑚</t>
  </si>
  <si>
    <t>是否紀錄硬珊瑚型態</t>
    <phoneticPr fontId="23" type="noConversion"/>
  </si>
  <si>
    <t>Temperature
水溫(ºC)：</t>
    <phoneticPr fontId="1" type="noConversion"/>
  </si>
  <si>
    <t>藻類</t>
    <phoneticPr fontId="23" type="noConversion"/>
  </si>
  <si>
    <t>重大珊瑚
損害性颱風</t>
    <phoneticPr fontId="23" type="noConversion"/>
  </si>
  <si>
    <t>Air Temperature
氣溫(ºC)：</t>
    <phoneticPr fontId="1" type="noConversion"/>
  </si>
  <si>
    <t>海綿</t>
    <phoneticPr fontId="23" type="noConversion"/>
  </si>
  <si>
    <t>緯度(Latitude)</t>
    <phoneticPr fontId="23" type="noConversion"/>
  </si>
  <si>
    <t>經度(Longitude)</t>
  </si>
  <si>
    <t>岩石</t>
    <phoneticPr fontId="23" type="noConversion"/>
  </si>
  <si>
    <t>天氣(weather)</t>
    <phoneticPr fontId="23" type="noConversion"/>
  </si>
  <si>
    <t>碎石</t>
    <phoneticPr fontId="23" type="noConversion"/>
  </si>
  <si>
    <t>沙</t>
    <phoneticPr fontId="23" type="noConversion"/>
  </si>
  <si>
    <t>泥沙</t>
  </si>
  <si>
    <t>請依照右側對照表，輸入Q欄代號</t>
    <phoneticPr fontId="23" type="noConversion"/>
  </si>
  <si>
    <t>其他</t>
  </si>
  <si>
    <t>(For first segment, if start point is 0 m, last point is 19.5 m)</t>
  </si>
  <si>
    <t>a</t>
    <phoneticPr fontId="23" type="noConversion"/>
  </si>
  <si>
    <t>硬珊瑚-a</t>
    <phoneticPr fontId="23" type="noConversion"/>
  </si>
  <si>
    <t>HC-a</t>
    <phoneticPr fontId="23" type="noConversion"/>
  </si>
  <si>
    <t>SEGMENT 1</t>
    <phoneticPr fontId="23" type="noConversion"/>
  </si>
  <si>
    <t>SEGMENT 2</t>
    <phoneticPr fontId="23" type="noConversion"/>
  </si>
  <si>
    <t>SEGMENT 3</t>
    <phoneticPr fontId="23" type="noConversion"/>
  </si>
  <si>
    <t>SEGMENT 4</t>
    <phoneticPr fontId="23" type="noConversion"/>
  </si>
  <si>
    <t>b</t>
    <phoneticPr fontId="23" type="noConversion"/>
  </si>
  <si>
    <t>硬珊瑚-b</t>
    <phoneticPr fontId="23" type="noConversion"/>
  </si>
  <si>
    <t>HC-b</t>
    <phoneticPr fontId="23" type="noConversion"/>
  </si>
  <si>
    <t>0 - 19.5 m</t>
  </si>
  <si>
    <t>25 - 44.5 m</t>
  </si>
  <si>
    <t>50 - 69.5 m</t>
  </si>
  <si>
    <t>75 - 94.5 m</t>
  </si>
  <si>
    <t>c</t>
    <phoneticPr fontId="23" type="noConversion"/>
  </si>
  <si>
    <t>硬珊瑚-c</t>
    <phoneticPr fontId="23" type="noConversion"/>
  </si>
  <si>
    <t>HC-c</t>
    <phoneticPr fontId="23" type="noConversion"/>
  </si>
  <si>
    <t>泥沙(硬珊瑚)</t>
    <phoneticPr fontId="23" type="noConversion"/>
  </si>
  <si>
    <t>SI(HC)</t>
    <phoneticPr fontId="23" type="noConversion"/>
  </si>
  <si>
    <t>泥沙(軟珊瑚)</t>
    <phoneticPr fontId="23" type="noConversion"/>
  </si>
  <si>
    <t>SI(SC)</t>
    <phoneticPr fontId="23" type="noConversion"/>
  </si>
  <si>
    <t>泥沙(新死珊瑚)</t>
    <phoneticPr fontId="23" type="noConversion"/>
  </si>
  <si>
    <t>SI(RKC)</t>
    <phoneticPr fontId="23" type="noConversion"/>
  </si>
  <si>
    <t>泥沙(藻類)</t>
    <phoneticPr fontId="23" type="noConversion"/>
  </si>
  <si>
    <t>SI(NIA)</t>
    <phoneticPr fontId="23" type="noConversion"/>
  </si>
  <si>
    <t>泥砂（海綿）</t>
    <phoneticPr fontId="23" type="noConversion"/>
  </si>
  <si>
    <t>SI(SP)</t>
    <phoneticPr fontId="23" type="noConversion"/>
  </si>
  <si>
    <t>泥沙(岩石)</t>
    <phoneticPr fontId="23" type="noConversion"/>
  </si>
  <si>
    <t>SI(RC)</t>
    <phoneticPr fontId="23" type="noConversion"/>
  </si>
  <si>
    <t>泥沙(碎石)</t>
    <phoneticPr fontId="23" type="noConversion"/>
  </si>
  <si>
    <t>SI(RB)</t>
    <phoneticPr fontId="23" type="noConversion"/>
  </si>
  <si>
    <t>泥沙(沙)</t>
    <phoneticPr fontId="23" type="noConversion"/>
  </si>
  <si>
    <t>SI(SD)</t>
    <phoneticPr fontId="23" type="noConversion"/>
  </si>
  <si>
    <t>白化/疾病 珊瑚點數  # of Coral with bleaching/disease by point</t>
    <phoneticPr fontId="23" type="noConversion"/>
  </si>
  <si>
    <t>S1</t>
    <phoneticPr fontId="23" type="noConversion"/>
  </si>
  <si>
    <t>S2</t>
    <phoneticPr fontId="23" type="noConversion"/>
  </si>
  <si>
    <t>S3</t>
    <phoneticPr fontId="23" type="noConversion"/>
  </si>
  <si>
    <t>S4</t>
    <phoneticPr fontId="23" type="noConversion"/>
  </si>
  <si>
    <t>Total</t>
    <phoneticPr fontId="23" type="noConversion"/>
  </si>
  <si>
    <t>Mean</t>
    <phoneticPr fontId="23" type="noConversion"/>
  </si>
  <si>
    <t>SD</t>
    <phoneticPr fontId="23" type="noConversion"/>
  </si>
  <si>
    <t>HC白化</t>
    <phoneticPr fontId="23" type="noConversion"/>
  </si>
  <si>
    <t>SC白化</t>
    <phoneticPr fontId="23" type="noConversion"/>
  </si>
  <si>
    <t>珊瑚疾病
（科導紀錄）</t>
    <phoneticPr fontId="23" type="noConversion"/>
  </si>
  <si>
    <t>若平均新死珊瑚覆蓋率 &gt; 10% ，造成的原因可能是</t>
    <phoneticPr fontId="23" type="noConversion"/>
  </si>
  <si>
    <t>Comments:</t>
  </si>
  <si>
    <t>Total HC</t>
    <phoneticPr fontId="23" type="noConversion"/>
  </si>
  <si>
    <t>Total SC</t>
    <phoneticPr fontId="23" type="noConversion"/>
  </si>
  <si>
    <t>DO NOT TYPE DATA BELOW THIS LINE</t>
  </si>
  <si>
    <t>Total S1</t>
  </si>
  <si>
    <t>Total S2</t>
  </si>
  <si>
    <t>Total S3</t>
  </si>
  <si>
    <t>Total S4</t>
  </si>
  <si>
    <t xml:space="preserve">Grand total </t>
  </si>
  <si>
    <t xml:space="preserve">Mean </t>
  </si>
  <si>
    <t>HC-a</t>
  </si>
  <si>
    <t>HC-b</t>
  </si>
  <si>
    <t>HC-c</t>
  </si>
  <si>
    <t>SI(HC)</t>
  </si>
  <si>
    <t>SI(SC)</t>
  </si>
  <si>
    <t>SI(RKC)</t>
  </si>
  <si>
    <t>SI(NIA)</t>
  </si>
  <si>
    <t>SI(SP)</t>
  </si>
  <si>
    <t>SI(RC)</t>
  </si>
  <si>
    <t>SI(RB)</t>
  </si>
  <si>
    <t>SI(SD)</t>
  </si>
  <si>
    <t>#</t>
  </si>
  <si>
    <t>每一個子樣區總數必為40，若不足40請檢查。</t>
    <phoneticPr fontId="23" type="noConversion"/>
  </si>
  <si>
    <t>year</t>
  </si>
  <si>
    <t>month</t>
  </si>
  <si>
    <t>day</t>
  </si>
  <si>
    <t>site_en</t>
    <phoneticPr fontId="16" type="noConversion"/>
  </si>
  <si>
    <t>site</t>
  </si>
  <si>
    <t>E</t>
  </si>
  <si>
    <t>N</t>
  </si>
  <si>
    <t>depth</t>
  </si>
  <si>
    <t>comments</t>
  </si>
  <si>
    <t>benthos recorded by</t>
  </si>
  <si>
    <t>segment</t>
  </si>
  <si>
    <t>butterflyfish</t>
  </si>
  <si>
    <t>sweetlips</t>
  </si>
  <si>
    <t>snapper</t>
  </si>
  <si>
    <t>barramundi cod</t>
  </si>
  <si>
    <t>humphead wrasse</t>
  </si>
  <si>
    <t>bumphead parrotfish</t>
  </si>
  <si>
    <t>other parrotfish</t>
  </si>
  <si>
    <t>moray eel</t>
  </si>
  <si>
    <t>grouper3040</t>
  </si>
  <si>
    <t>grouper4050</t>
  </si>
  <si>
    <t>grouper5060</t>
  </si>
  <si>
    <t>grouper60</t>
  </si>
  <si>
    <t>others</t>
  </si>
  <si>
    <t>fish recorded by 1</t>
  </si>
  <si>
    <t>banded coral shrimp</t>
  </si>
  <si>
    <t>diadema</t>
  </si>
  <si>
    <t>pencil urchin</t>
  </si>
  <si>
    <t>collector urchin</t>
  </si>
  <si>
    <t>seacucumber</t>
  </si>
  <si>
    <t>crown of thorns</t>
  </si>
  <si>
    <t>triton</t>
  </si>
  <si>
    <t>lobster</t>
  </si>
  <si>
    <t>giantclam&lt;10</t>
  </si>
  <si>
    <t>giantclam1020</t>
  </si>
  <si>
    <t>giantclam2030</t>
  </si>
  <si>
    <t>giantclam3040</t>
  </si>
  <si>
    <t>giantclam4050</t>
  </si>
  <si>
    <t>giantclam50</t>
  </si>
  <si>
    <t>boat anchor</t>
  </si>
  <si>
    <t>dynamite</t>
  </si>
  <si>
    <t>other coral damage</t>
  </si>
  <si>
    <t>fishnet trash</t>
  </si>
  <si>
    <t>general trash</t>
  </si>
  <si>
    <t>bleaching%population</t>
  </si>
  <si>
    <t>bleaching%colony</t>
  </si>
  <si>
    <t>disease%coral black band</t>
  </si>
  <si>
    <t>disease%coral white band</t>
  </si>
  <si>
    <t>sharks</t>
  </si>
  <si>
    <t>turtles</t>
  </si>
  <si>
    <t>mantas</t>
  </si>
  <si>
    <t>other</t>
  </si>
  <si>
    <t>invert recorded by</t>
  </si>
  <si>
    <t>暫時先一起輸出，之後思考如何呈現</t>
    <phoneticPr fontId="16" type="noConversion"/>
  </si>
  <si>
    <t>ifRKC_10</t>
    <phoneticPr fontId="16" type="noConversion"/>
  </si>
  <si>
    <t>ifRKC_10_other</t>
    <phoneticPr fontId="16" type="noConversion"/>
  </si>
  <si>
    <t>bleach_hc</t>
    <phoneticPr fontId="16" type="noConversion"/>
  </si>
  <si>
    <t>bleach_sc</t>
    <phoneticPr fontId="16" type="noConversion"/>
  </si>
  <si>
    <t>coral_disease</t>
    <phoneticPr fontId="16" type="noConversion"/>
  </si>
  <si>
    <t>time</t>
    <phoneticPr fontId="16" type="noConversion"/>
  </si>
  <si>
    <t>visibility</t>
    <phoneticPr fontId="16" type="noConversion"/>
  </si>
  <si>
    <t>seaTemp</t>
    <phoneticPr fontId="16" type="noConversion"/>
  </si>
  <si>
    <t>airTemp</t>
    <phoneticPr fontId="16" type="noConversion"/>
  </si>
  <si>
    <t>isCoralType</t>
    <phoneticPr fontId="16" type="noConversion"/>
  </si>
  <si>
    <t>isStorm</t>
    <phoneticPr fontId="16" type="noConversion"/>
  </si>
  <si>
    <t>weather</t>
    <phoneticPr fontId="16" type="noConversion"/>
  </si>
  <si>
    <t>to RC foundation</t>
    <phoneticPr fontId="16" type="noConversion"/>
  </si>
  <si>
    <r>
      <t>SEGMENT 1</t>
    </r>
    <r>
      <rPr>
        <b/>
        <sz val="11"/>
        <rFont val="新細明體"/>
        <family val="1"/>
        <charset val="136"/>
      </rPr>
      <t>段</t>
    </r>
  </si>
  <si>
    <r>
      <t>SEGMENT 2</t>
    </r>
    <r>
      <rPr>
        <b/>
        <sz val="11"/>
        <rFont val="新細明體"/>
        <family val="1"/>
        <charset val="136"/>
      </rPr>
      <t>段</t>
    </r>
  </si>
  <si>
    <r>
      <t>SEGMENT 3</t>
    </r>
    <r>
      <rPr>
        <b/>
        <sz val="11"/>
        <rFont val="新細明體"/>
        <family val="1"/>
        <charset val="136"/>
      </rPr>
      <t>段</t>
    </r>
  </si>
  <si>
    <r>
      <t>SEGMENT 4</t>
    </r>
    <r>
      <rPr>
        <b/>
        <sz val="11"/>
        <rFont val="新細明體"/>
        <family val="1"/>
        <charset val="136"/>
      </rPr>
      <t>段</t>
    </r>
  </si>
  <si>
    <t>代碼</t>
  </si>
  <si>
    <t>縮寫</t>
    <phoneticPr fontId="16" type="noConversion"/>
  </si>
  <si>
    <t>reef type cover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</si>
</sst>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b/>
      <u/>
      <sz val="14"/>
      <color indexed="10"/>
      <name val="Arial Narrow"/>
      <family val="2"/>
    </font>
    <font>
      <b/>
      <u/>
      <sz val="14"/>
      <name val="Arial Narrow"/>
      <family val="2"/>
    </font>
    <font>
      <sz val="10"/>
      <color indexed="10"/>
      <name val="Arial"/>
      <family val="2"/>
    </font>
    <font>
      <sz val="10"/>
      <name val="Arial Narrow"/>
      <family val="2"/>
    </font>
    <font>
      <sz val="12"/>
      <name val="Arial"/>
      <family val="2"/>
    </font>
    <font>
      <b/>
      <u/>
      <sz val="12"/>
      <name val="Arial"/>
      <family val="2"/>
    </font>
    <font>
      <sz val="14"/>
      <name val="Arial Narrow"/>
      <family val="2"/>
    </font>
    <font>
      <sz val="12"/>
      <color indexed="10"/>
      <name val="Arial"/>
      <family val="2"/>
    </font>
    <font>
      <b/>
      <sz val="12"/>
      <name val="Arial"/>
      <family val="2"/>
    </font>
    <font>
      <sz val="9"/>
      <name val="細明體"/>
      <family val="1"/>
      <charset val="136"/>
    </font>
    <font>
      <b/>
      <u/>
      <sz val="12"/>
      <color indexed="48"/>
      <name val="Arial"/>
      <family val="2"/>
    </font>
    <font>
      <sz val="10"/>
      <color indexed="48"/>
      <name val="Arial"/>
      <family val="2"/>
    </font>
    <font>
      <b/>
      <u/>
      <sz val="12"/>
      <color indexed="10"/>
      <name val="Arial"/>
      <family val="2"/>
    </font>
    <font>
      <sz val="12"/>
      <color rgb="FF000000"/>
      <name val="Arial"/>
      <family val="2"/>
    </font>
    <font>
      <b/>
      <u/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sz val="9"/>
      <name val="JasonHandwriting1"/>
      <family val="3"/>
      <charset val="136"/>
    </font>
    <font>
      <sz val="16"/>
      <name val="微軟正黑體 Bold"/>
      <charset val="136"/>
    </font>
    <font>
      <b/>
      <sz val="12"/>
      <name val="微軟正黑體 Bold"/>
      <charset val="136"/>
    </font>
    <font>
      <sz val="12"/>
      <name val="微軟正黑體 Bold"/>
      <charset val="136"/>
    </font>
    <font>
      <b/>
      <sz val="12"/>
      <color theme="1"/>
      <name val="微軟正黑體 Bold"/>
      <charset val="136"/>
    </font>
    <font>
      <b/>
      <sz val="12"/>
      <color indexed="10"/>
      <name val="微軟正黑體 Bold"/>
      <charset val="136"/>
    </font>
    <font>
      <i/>
      <sz val="12"/>
      <name val="微軟正黑體 Bold"/>
      <charset val="136"/>
    </font>
    <font>
      <b/>
      <u/>
      <sz val="12"/>
      <name val="微軟正黑體 Bold"/>
      <charset val="136"/>
    </font>
    <font>
      <sz val="12"/>
      <color rgb="FFFF0000"/>
      <name val="微軟正黑體 Bold"/>
      <charset val="136"/>
    </font>
    <font>
      <sz val="10"/>
      <name val="Calibri"/>
      <family val="2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1"/>
      <name val="Calibri"/>
      <family val="2"/>
    </font>
    <font>
      <b/>
      <sz val="12"/>
      <color indexed="10"/>
      <name val="微軟正黑體"/>
      <family val="2"/>
      <charset val="136"/>
    </font>
    <font>
      <sz val="12"/>
      <name val="Microsoft JhengHei"/>
      <family val="2"/>
      <charset val="136"/>
    </font>
    <font>
      <sz val="12"/>
      <name val="Microsoft JhengHei"/>
      <family val="2"/>
    </font>
    <font>
      <sz val="11"/>
      <color rgb="FF000000"/>
      <name val="Microsoft JhengHei"/>
      <family val="2"/>
      <charset val="136"/>
    </font>
    <font>
      <b/>
      <sz val="10"/>
      <name val="Arial"/>
      <family val="2"/>
    </font>
    <font>
      <sz val="10"/>
      <name val="微軟正黑體 Bold"/>
      <charset val="136"/>
    </font>
    <font>
      <sz val="10"/>
      <name val="Microsoft JhengHei"/>
      <family val="2"/>
      <charset val="136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微軟正黑體 Bold"/>
      <charset val="136"/>
    </font>
    <font>
      <b/>
      <sz val="11"/>
      <name val="新細明體"/>
      <family val="1"/>
      <charset val="136"/>
    </font>
    <font>
      <b/>
      <sz val="10"/>
      <name val="新細明體"/>
      <family val="1"/>
      <charset val="136"/>
    </font>
    <font>
      <sz val="14"/>
      <name val="微軟正黑體"/>
      <family val="2"/>
      <charset val="136"/>
    </font>
    <font>
      <b/>
      <sz val="12"/>
      <name val="Microsoft JhengHei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6">
    <xf numFmtId="0" fontId="0" fillId="0" borderId="0" xfId="0"/>
    <xf numFmtId="0" fontId="4" fillId="3" borderId="0" xfId="0" applyFont="1" applyFill="1"/>
    <xf numFmtId="0" fontId="3" fillId="3" borderId="0" xfId="0" applyFont="1" applyFill="1"/>
    <xf numFmtId="0" fontId="2" fillId="2" borderId="9" xfId="0" applyFont="1" applyFill="1" applyBorder="1" applyAlignment="1">
      <alignment horizontal="left"/>
    </xf>
    <xf numFmtId="0" fontId="3" fillId="2" borderId="10" xfId="0" applyFont="1" applyFill="1" applyBorder="1"/>
    <xf numFmtId="0" fontId="6" fillId="3" borderId="0" xfId="0" applyFont="1" applyFill="1"/>
    <xf numFmtId="0" fontId="3" fillId="3" borderId="0" xfId="0" applyFont="1" applyFill="1" applyAlignment="1">
      <alignment horizontal="left"/>
    </xf>
    <xf numFmtId="0" fontId="3" fillId="2" borderId="14" xfId="0" applyFont="1" applyFill="1" applyBorder="1"/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5" xfId="0" applyFont="1" applyFill="1" applyBorder="1"/>
    <xf numFmtId="0" fontId="5" fillId="2" borderId="3" xfId="0" applyFont="1" applyFill="1" applyBorder="1" applyAlignment="1">
      <alignment wrapText="1"/>
    </xf>
    <xf numFmtId="0" fontId="5" fillId="2" borderId="9" xfId="0" applyFont="1" applyFill="1" applyBorder="1"/>
    <xf numFmtId="0" fontId="2" fillId="2" borderId="9" xfId="0" applyFont="1" applyFill="1" applyBorder="1"/>
    <xf numFmtId="0" fontId="2" fillId="2" borderId="5" xfId="0" applyFont="1" applyFill="1" applyBorder="1"/>
    <xf numFmtId="0" fontId="2" fillId="2" borderId="9" xfId="0" applyFont="1" applyFill="1" applyBorder="1" applyAlignment="1">
      <alignment wrapText="1"/>
    </xf>
    <xf numFmtId="0" fontId="10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wrapText="1"/>
    </xf>
    <xf numFmtId="0" fontId="5" fillId="3" borderId="0" xfId="0" applyFont="1" applyFill="1"/>
    <xf numFmtId="0" fontId="0" fillId="3" borderId="0" xfId="0" applyFill="1" applyAlignment="1">
      <alignment wrapText="1"/>
    </xf>
    <xf numFmtId="0" fontId="14" fillId="3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0" fillId="3" borderId="0" xfId="0" applyFill="1"/>
    <xf numFmtId="0" fontId="11" fillId="3" borderId="0" xfId="0" applyFont="1" applyFill="1" applyAlignment="1">
      <alignment horizontal="justify" wrapText="1"/>
    </xf>
    <xf numFmtId="0" fontId="1" fillId="3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1" fillId="3" borderId="2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9" fillId="3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15" fillId="3" borderId="0" xfId="0" applyFont="1" applyFill="1" applyAlignment="1">
      <alignment horizontal="justify" wrapText="1"/>
    </xf>
    <xf numFmtId="0" fontId="3" fillId="2" borderId="12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4" fillId="3" borderId="11" xfId="0" applyFont="1" applyFill="1" applyBorder="1"/>
    <xf numFmtId="0" fontId="4" fillId="3" borderId="10" xfId="0" applyFont="1" applyFill="1" applyBorder="1"/>
    <xf numFmtId="0" fontId="6" fillId="3" borderId="10" xfId="0" applyFont="1" applyFill="1" applyBorder="1"/>
    <xf numFmtId="0" fontId="4" fillId="3" borderId="8" xfId="0" applyFont="1" applyFill="1" applyBorder="1"/>
    <xf numFmtId="0" fontId="4" fillId="3" borderId="12" xfId="0" applyFont="1" applyFill="1" applyBorder="1"/>
    <xf numFmtId="0" fontId="9" fillId="0" borderId="0" xfId="0" applyFont="1" applyAlignment="1">
      <alignment wrapText="1"/>
    </xf>
    <xf numFmtId="0" fontId="26" fillId="2" borderId="1" xfId="1" applyFont="1" applyFill="1" applyBorder="1" applyAlignment="1">
      <alignment horizontal="left"/>
    </xf>
    <xf numFmtId="0" fontId="26" fillId="2" borderId="11" xfId="1" applyFont="1" applyFill="1" applyBorder="1"/>
    <xf numFmtId="0" fontId="25" fillId="5" borderId="16" xfId="1" applyFont="1" applyFill="1" applyBorder="1" applyAlignment="1">
      <alignment horizontal="center" vertical="center"/>
    </xf>
    <xf numFmtId="0" fontId="26" fillId="3" borderId="0" xfId="1" applyFont="1" applyFill="1"/>
    <xf numFmtId="0" fontId="26" fillId="0" borderId="0" xfId="1" applyFont="1"/>
    <xf numFmtId="0" fontId="26" fillId="2" borderId="0" xfId="1" applyFont="1" applyFill="1" applyAlignment="1">
      <alignment horizontal="left"/>
    </xf>
    <xf numFmtId="0" fontId="26" fillId="2" borderId="10" xfId="1" applyFont="1" applyFill="1" applyBorder="1"/>
    <xf numFmtId="0" fontId="26" fillId="5" borderId="16" xfId="1" applyFont="1" applyFill="1" applyBorder="1" applyAlignment="1">
      <alignment horizontal="center" vertical="center"/>
    </xf>
    <xf numFmtId="0" fontId="26" fillId="2" borderId="0" xfId="1" applyFont="1" applyFill="1"/>
    <xf numFmtId="0" fontId="26" fillId="4" borderId="0" xfId="1" applyFont="1" applyFill="1"/>
    <xf numFmtId="0" fontId="26" fillId="4" borderId="10" xfId="1" applyFont="1" applyFill="1" applyBorder="1"/>
    <xf numFmtId="0" fontId="25" fillId="2" borderId="2" xfId="1" applyFont="1" applyFill="1" applyBorder="1" applyAlignment="1">
      <alignment horizontal="left"/>
    </xf>
    <xf numFmtId="0" fontId="25" fillId="2" borderId="0" xfId="1" applyFont="1" applyFill="1" applyAlignment="1">
      <alignment horizontal="left"/>
    </xf>
    <xf numFmtId="0" fontId="25" fillId="2" borderId="0" xfId="1" applyFont="1" applyFill="1"/>
    <xf numFmtId="0" fontId="25" fillId="2" borderId="2" xfId="1" applyFont="1" applyFill="1" applyBorder="1"/>
    <xf numFmtId="0" fontId="26" fillId="2" borderId="2" xfId="1" applyFont="1" applyFill="1" applyBorder="1" applyAlignment="1">
      <alignment horizontal="left"/>
    </xf>
    <xf numFmtId="0" fontId="29" fillId="2" borderId="2" xfId="1" applyFont="1" applyFill="1" applyBorder="1"/>
    <xf numFmtId="0" fontId="29" fillId="2" borderId="0" xfId="1" applyFont="1" applyFill="1"/>
    <xf numFmtId="0" fontId="25" fillId="2" borderId="17" xfId="1" applyFont="1" applyFill="1" applyBorder="1" applyAlignment="1">
      <alignment horizontal="centerContinuous"/>
    </xf>
    <xf numFmtId="0" fontId="25" fillId="2" borderId="16" xfId="1" applyFont="1" applyFill="1" applyBorder="1" applyAlignment="1">
      <alignment horizontal="centerContinuous"/>
    </xf>
    <xf numFmtId="0" fontId="25" fillId="2" borderId="18" xfId="1" applyFont="1" applyFill="1" applyBorder="1" applyAlignment="1">
      <alignment horizontal="centerContinuous"/>
    </xf>
    <xf numFmtId="0" fontId="25" fillId="0" borderId="0" xfId="1" applyFont="1" applyAlignment="1">
      <alignment horizontal="left"/>
    </xf>
    <xf numFmtId="0" fontId="26" fillId="2" borderId="17" xfId="1" applyFont="1" applyFill="1" applyBorder="1" applyAlignment="1">
      <alignment horizontal="left"/>
    </xf>
    <xf numFmtId="0" fontId="26" fillId="2" borderId="16" xfId="1" applyFont="1" applyFill="1" applyBorder="1" applyAlignment="1">
      <alignment horizontal="left"/>
    </xf>
    <xf numFmtId="0" fontId="26" fillId="3" borderId="16" xfId="1" applyFont="1" applyFill="1" applyBorder="1" applyAlignment="1">
      <alignment horizontal="center" vertical="center"/>
    </xf>
    <xf numFmtId="0" fontId="30" fillId="2" borderId="2" xfId="1" applyFont="1" applyFill="1" applyBorder="1"/>
    <xf numFmtId="0" fontId="28" fillId="2" borderId="2" xfId="1" applyFont="1" applyFill="1" applyBorder="1" applyAlignment="1">
      <alignment horizontal="left"/>
    </xf>
    <xf numFmtId="0" fontId="28" fillId="3" borderId="0" xfId="1" applyFont="1" applyFill="1"/>
    <xf numFmtId="0" fontId="28" fillId="0" borderId="0" xfId="1" applyFont="1"/>
    <xf numFmtId="0" fontId="26" fillId="2" borderId="5" xfId="1" applyFont="1" applyFill="1" applyBorder="1"/>
    <xf numFmtId="0" fontId="26" fillId="2" borderId="10" xfId="1" applyFont="1" applyFill="1" applyBorder="1" applyAlignment="1">
      <alignment horizontal="left"/>
    </xf>
    <xf numFmtId="0" fontId="26" fillId="2" borderId="2" xfId="1" applyFont="1" applyFill="1" applyBorder="1"/>
    <xf numFmtId="0" fontId="26" fillId="2" borderId="7" xfId="1" applyFont="1" applyFill="1" applyBorder="1" applyAlignment="1">
      <alignment horizontal="left"/>
    </xf>
    <xf numFmtId="0" fontId="26" fillId="2" borderId="12" xfId="1" applyFont="1" applyFill="1" applyBorder="1" applyAlignment="1">
      <alignment horizontal="left"/>
    </xf>
    <xf numFmtId="0" fontId="26" fillId="2" borderId="8" xfId="1" applyFont="1" applyFill="1" applyBorder="1" applyAlignment="1">
      <alignment horizontal="left"/>
    </xf>
    <xf numFmtId="0" fontId="26" fillId="2" borderId="3" xfId="1" applyFont="1" applyFill="1" applyBorder="1" applyAlignment="1">
      <alignment horizontal="left"/>
    </xf>
    <xf numFmtId="0" fontId="28" fillId="2" borderId="5" xfId="1" applyFont="1" applyFill="1" applyBorder="1" applyAlignment="1">
      <alignment horizontal="left"/>
    </xf>
    <xf numFmtId="0" fontId="26" fillId="2" borderId="4" xfId="1" applyFont="1" applyFill="1" applyBorder="1"/>
    <xf numFmtId="0" fontId="26" fillId="2" borderId="7" xfId="1" applyFont="1" applyFill="1" applyBorder="1"/>
    <xf numFmtId="0" fontId="26" fillId="2" borderId="8" xfId="1" applyFont="1" applyFill="1" applyBorder="1"/>
    <xf numFmtId="0" fontId="26" fillId="2" borderId="12" xfId="1" applyFont="1" applyFill="1" applyBorder="1"/>
    <xf numFmtId="0" fontId="26" fillId="0" borderId="13" xfId="1" applyFont="1" applyBorder="1" applyAlignment="1">
      <alignment horizontal="left"/>
    </xf>
    <xf numFmtId="0" fontId="26" fillId="0" borderId="0" xfId="1" applyFont="1" applyAlignment="1">
      <alignment horizontal="left"/>
    </xf>
    <xf numFmtId="0" fontId="31" fillId="5" borderId="16" xfId="1" applyFont="1" applyFill="1" applyBorder="1" applyAlignment="1">
      <alignment horizontal="center" vertical="center"/>
    </xf>
    <xf numFmtId="0" fontId="32" fillId="0" borderId="0" xfId="0" applyFont="1"/>
    <xf numFmtId="0" fontId="35" fillId="0" borderId="0" xfId="0" applyFont="1"/>
    <xf numFmtId="0" fontId="34" fillId="2" borderId="3" xfId="0" applyFont="1" applyFill="1" applyBorder="1" applyAlignment="1">
      <alignment horizontal="left" vertical="center"/>
    </xf>
    <xf numFmtId="0" fontId="33" fillId="2" borderId="5" xfId="0" applyFont="1" applyFill="1" applyBorder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34" fillId="2" borderId="9" xfId="0" applyFont="1" applyFill="1" applyBorder="1" applyAlignment="1">
      <alignment horizontal="left" vertical="center"/>
    </xf>
    <xf numFmtId="0" fontId="33" fillId="2" borderId="2" xfId="0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3" fillId="2" borderId="6" xfId="0" applyFont="1" applyFill="1" applyBorder="1" applyAlignment="1">
      <alignment horizontal="left" vertical="center"/>
    </xf>
    <xf numFmtId="0" fontId="33" fillId="2" borderId="11" xfId="0" applyFont="1" applyFill="1" applyBorder="1" applyAlignment="1">
      <alignment horizontal="left" vertical="center"/>
    </xf>
    <xf numFmtId="0" fontId="33" fillId="2" borderId="7" xfId="0" applyFont="1" applyFill="1" applyBorder="1" applyAlignment="1">
      <alignment horizontal="left" vertical="center"/>
    </xf>
    <xf numFmtId="0" fontId="33" fillId="2" borderId="12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horizontal="left" vertical="center"/>
    </xf>
    <xf numFmtId="0" fontId="36" fillId="2" borderId="5" xfId="0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left" vertical="center"/>
    </xf>
    <xf numFmtId="0" fontId="33" fillId="2" borderId="8" xfId="0" applyFont="1" applyFill="1" applyBorder="1" applyAlignment="1">
      <alignment horizontal="left" vertical="center"/>
    </xf>
    <xf numFmtId="0" fontId="24" fillId="2" borderId="2" xfId="1" applyFont="1" applyFill="1" applyBorder="1" applyAlignment="1">
      <alignment horizontal="left"/>
    </xf>
    <xf numFmtId="0" fontId="3" fillId="6" borderId="0" xfId="0" applyFont="1" applyFill="1"/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0" fontId="34" fillId="2" borderId="6" xfId="0" applyFont="1" applyFill="1" applyBorder="1" applyAlignment="1">
      <alignment horizontal="left" vertical="center"/>
    </xf>
    <xf numFmtId="0" fontId="26" fillId="4" borderId="16" xfId="1" applyFont="1" applyFill="1" applyBorder="1" applyAlignment="1">
      <alignment horizontal="center" vertical="center"/>
    </xf>
    <xf numFmtId="0" fontId="42" fillId="0" borderId="0" xfId="0" applyFont="1"/>
    <xf numFmtId="0" fontId="4" fillId="3" borderId="2" xfId="0" applyFont="1" applyFill="1" applyBorder="1"/>
    <xf numFmtId="0" fontId="4" fillId="3" borderId="7" xfId="0" applyFont="1" applyFill="1" applyBorder="1"/>
    <xf numFmtId="0" fontId="43" fillId="3" borderId="0" xfId="0" applyFont="1" applyFill="1" applyAlignment="1">
      <alignment horizontal="center" vertical="center" wrapText="1"/>
    </xf>
    <xf numFmtId="0" fontId="43" fillId="3" borderId="0" xfId="0" applyFont="1" applyFill="1" applyAlignment="1">
      <alignment horizontal="center" vertical="center"/>
    </xf>
    <xf numFmtId="0" fontId="44" fillId="3" borderId="0" xfId="0" applyFont="1" applyFill="1" applyAlignment="1">
      <alignment horizontal="left" vertical="center"/>
    </xf>
    <xf numFmtId="0" fontId="44" fillId="3" borderId="0" xfId="0" applyFont="1" applyFill="1" applyAlignment="1">
      <alignment horizontal="left" vertical="center" wrapText="1"/>
    </xf>
    <xf numFmtId="0" fontId="44" fillId="3" borderId="0" xfId="0" applyFont="1" applyFill="1" applyAlignment="1">
      <alignment horizontal="center" vertical="center"/>
    </xf>
    <xf numFmtId="0" fontId="45" fillId="3" borderId="16" xfId="0" applyFont="1" applyFill="1" applyBorder="1" applyAlignment="1">
      <alignment horizontal="center" vertical="center" wrapText="1"/>
    </xf>
    <xf numFmtId="0" fontId="45" fillId="3" borderId="16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/>
    </xf>
    <xf numFmtId="0" fontId="26" fillId="6" borderId="16" xfId="1" applyFont="1" applyFill="1" applyBorder="1" applyAlignment="1" applyProtection="1">
      <alignment horizontal="center"/>
      <protection locked="0" hidden="1"/>
    </xf>
    <xf numFmtId="0" fontId="26" fillId="6" borderId="18" xfId="1" applyFont="1" applyFill="1" applyBorder="1" applyAlignment="1" applyProtection="1">
      <alignment horizontal="center"/>
      <protection locked="0" hidden="1"/>
    </xf>
    <xf numFmtId="0" fontId="26" fillId="2" borderId="19" xfId="1" applyFont="1" applyFill="1" applyBorder="1" applyAlignment="1">
      <alignment horizontal="left"/>
    </xf>
    <xf numFmtId="0" fontId="26" fillId="6" borderId="20" xfId="1" applyFont="1" applyFill="1" applyBorder="1" applyAlignment="1" applyProtection="1">
      <alignment horizontal="center"/>
      <protection locked="0" hidden="1"/>
    </xf>
    <xf numFmtId="0" fontId="26" fillId="2" borderId="20" xfId="1" applyFont="1" applyFill="1" applyBorder="1" applyAlignment="1">
      <alignment horizontal="left"/>
    </xf>
    <xf numFmtId="0" fontId="26" fillId="6" borderId="21" xfId="1" applyFont="1" applyFill="1" applyBorder="1" applyAlignment="1" applyProtection="1">
      <alignment horizontal="center"/>
      <protection locked="0" hidden="1"/>
    </xf>
    <xf numFmtId="0" fontId="26" fillId="2" borderId="22" xfId="1" applyFont="1" applyFill="1" applyBorder="1" applyAlignment="1">
      <alignment horizontal="left"/>
    </xf>
    <xf numFmtId="0" fontId="26" fillId="6" borderId="23" xfId="1" applyFont="1" applyFill="1" applyBorder="1" applyAlignment="1" applyProtection="1">
      <alignment horizontal="center"/>
      <protection locked="0" hidden="1"/>
    </xf>
    <xf numFmtId="0" fontId="26" fillId="2" borderId="23" xfId="1" applyFont="1" applyFill="1" applyBorder="1" applyAlignment="1">
      <alignment horizontal="left"/>
    </xf>
    <xf numFmtId="0" fontId="26" fillId="6" borderId="24" xfId="1" applyFont="1" applyFill="1" applyBorder="1" applyAlignment="1" applyProtection="1">
      <alignment horizontal="center"/>
      <protection locked="0" hidden="1"/>
    </xf>
    <xf numFmtId="0" fontId="40" fillId="4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Continuous"/>
    </xf>
    <xf numFmtId="0" fontId="2" fillId="2" borderId="4" xfId="1" applyFont="1" applyFill="1" applyBorder="1" applyAlignment="1">
      <alignment horizontal="centerContinuous"/>
    </xf>
    <xf numFmtId="0" fontId="2" fillId="2" borderId="5" xfId="1" applyFont="1" applyFill="1" applyBorder="1" applyAlignment="1">
      <alignment horizontal="centerContinuous"/>
    </xf>
    <xf numFmtId="0" fontId="3" fillId="2" borderId="6" xfId="1" applyFont="1" applyFill="1" applyBorder="1" applyAlignment="1">
      <alignment horizontal="left"/>
    </xf>
    <xf numFmtId="0" fontId="1" fillId="7" borderId="11" xfId="1" applyFill="1" applyBorder="1" applyAlignment="1" applyProtection="1">
      <alignment horizontal="center"/>
      <protection hidden="1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47" fillId="5" borderId="16" xfId="1" applyFont="1" applyFill="1" applyBorder="1" applyAlignment="1">
      <alignment horizontal="center"/>
    </xf>
    <xf numFmtId="0" fontId="1" fillId="5" borderId="16" xfId="1" applyFill="1" applyBorder="1" applyAlignment="1">
      <alignment horizontal="center"/>
    </xf>
    <xf numFmtId="0" fontId="47" fillId="5" borderId="16" xfId="1" applyFont="1" applyFill="1" applyBorder="1" applyAlignment="1">
      <alignment horizontal="center" vertical="center"/>
    </xf>
    <xf numFmtId="0" fontId="1" fillId="5" borderId="16" xfId="1" applyFill="1" applyBorder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1" fillId="7" borderId="5" xfId="1" applyFill="1" applyBorder="1" applyAlignment="1" applyProtection="1">
      <alignment horizontal="center"/>
      <protection hidden="1"/>
    </xf>
    <xf numFmtId="0" fontId="48" fillId="0" borderId="0" xfId="0" applyFont="1"/>
    <xf numFmtId="0" fontId="40" fillId="4" borderId="0" xfId="1" applyFont="1" applyFill="1" applyAlignment="1">
      <alignment horizontal="center"/>
    </xf>
    <xf numFmtId="0" fontId="26" fillId="3" borderId="0" xfId="1" applyFont="1" applyFill="1" applyAlignment="1">
      <alignment horizontal="center" vertical="center"/>
    </xf>
    <xf numFmtId="0" fontId="1" fillId="4" borderId="0" xfId="1" applyFill="1" applyAlignment="1">
      <alignment horizontal="center"/>
    </xf>
    <xf numFmtId="0" fontId="26" fillId="3" borderId="25" xfId="1" applyFont="1" applyFill="1" applyBorder="1" applyAlignment="1">
      <alignment horizontal="center" vertical="center"/>
    </xf>
    <xf numFmtId="0" fontId="25" fillId="2" borderId="7" xfId="1" applyFont="1" applyFill="1" applyBorder="1" applyAlignment="1">
      <alignment horizontal="left"/>
    </xf>
    <xf numFmtId="0" fontId="25" fillId="2" borderId="8" xfId="1" applyFont="1" applyFill="1" applyBorder="1" applyAlignment="1">
      <alignment horizontal="left"/>
    </xf>
    <xf numFmtId="0" fontId="1" fillId="4" borderId="10" xfId="1" applyFill="1" applyBorder="1" applyAlignment="1">
      <alignment horizontal="center"/>
    </xf>
    <xf numFmtId="0" fontId="28" fillId="2" borderId="7" xfId="1" applyFont="1" applyFill="1" applyBorder="1" applyAlignment="1">
      <alignment horizontal="left"/>
    </xf>
    <xf numFmtId="0" fontId="28" fillId="2" borderId="8" xfId="1" applyFont="1" applyFill="1" applyBorder="1" applyAlignment="1">
      <alignment horizontal="left"/>
    </xf>
    <xf numFmtId="0" fontId="28" fillId="2" borderId="8" xfId="1" applyFont="1" applyFill="1" applyBorder="1"/>
    <xf numFmtId="0" fontId="28" fillId="2" borderId="12" xfId="1" applyFont="1" applyFill="1" applyBorder="1"/>
    <xf numFmtId="0" fontId="40" fillId="4" borderId="0" xfId="1" applyFont="1" applyFill="1"/>
    <xf numFmtId="0" fontId="49" fillId="4" borderId="6" xfId="1" applyFont="1" applyFill="1" applyBorder="1"/>
    <xf numFmtId="0" fontId="15" fillId="4" borderId="1" xfId="1" applyFont="1" applyFill="1" applyBorder="1"/>
    <xf numFmtId="0" fontId="15" fillId="4" borderId="11" xfId="1" applyFont="1" applyFill="1" applyBorder="1"/>
    <xf numFmtId="0" fontId="1" fillId="4" borderId="10" xfId="1" applyFill="1" applyBorder="1" applyProtection="1">
      <protection locked="0"/>
    </xf>
    <xf numFmtId="0" fontId="33" fillId="6" borderId="16" xfId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wrapText="1"/>
    </xf>
    <xf numFmtId="0" fontId="9" fillId="3" borderId="6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1" xfId="0" applyBorder="1" applyAlignment="1">
      <alignment wrapText="1"/>
    </xf>
    <xf numFmtId="0" fontId="8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9" fillId="3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2" xfId="0" applyBorder="1" applyAlignment="1">
      <alignment wrapText="1"/>
    </xf>
    <xf numFmtId="0" fontId="7" fillId="3" borderId="0" xfId="0" applyFont="1" applyFill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" fillId="4" borderId="0" xfId="1" applyFill="1" applyAlignment="1">
      <alignment horizontal="center"/>
    </xf>
    <xf numFmtId="0" fontId="40" fillId="4" borderId="0" xfId="1" applyFont="1" applyFill="1" applyAlignment="1">
      <alignment horizontal="center"/>
    </xf>
    <xf numFmtId="0" fontId="1" fillId="4" borderId="10" xfId="1" applyFill="1" applyBorder="1" applyAlignment="1">
      <alignment horizontal="center"/>
    </xf>
    <xf numFmtId="0" fontId="26" fillId="2" borderId="2" xfId="1" applyFont="1" applyFill="1" applyBorder="1" applyAlignment="1">
      <alignment horizontal="left"/>
    </xf>
    <xf numFmtId="0" fontId="26" fillId="2" borderId="0" xfId="1" applyFont="1" applyFill="1" applyAlignment="1">
      <alignment horizontal="left"/>
    </xf>
    <xf numFmtId="0" fontId="26" fillId="0" borderId="0" xfId="1" applyFont="1" applyAlignment="1" applyProtection="1">
      <alignment horizontal="left" vertical="center"/>
      <protection locked="0"/>
    </xf>
    <xf numFmtId="0" fontId="26" fillId="0" borderId="10" xfId="1" applyFont="1" applyBorder="1" applyAlignment="1" applyProtection="1">
      <alignment horizontal="left" vertical="center"/>
      <protection locked="0"/>
    </xf>
    <xf numFmtId="0" fontId="40" fillId="4" borderId="2" xfId="1" applyFont="1" applyFill="1" applyBorder="1" applyAlignment="1">
      <alignment horizontal="center"/>
    </xf>
    <xf numFmtId="0" fontId="26" fillId="0" borderId="0" xfId="1" applyFont="1" applyAlignment="1" applyProtection="1">
      <alignment horizontal="center" vertical="center"/>
      <protection locked="0"/>
    </xf>
    <xf numFmtId="0" fontId="26" fillId="0" borderId="10" xfId="1" applyFont="1" applyBorder="1" applyAlignment="1" applyProtection="1">
      <alignment horizontal="center" vertical="center"/>
      <protection locked="0"/>
    </xf>
    <xf numFmtId="0" fontId="26" fillId="2" borderId="0" xfId="1" applyFont="1" applyFill="1" applyAlignment="1">
      <alignment horizontal="center" wrapText="1"/>
    </xf>
    <xf numFmtId="0" fontId="26" fillId="2" borderId="0" xfId="1" applyFont="1" applyFill="1" applyAlignment="1">
      <alignment horizontal="center" vertical="center"/>
    </xf>
    <xf numFmtId="0" fontId="26" fillId="2" borderId="0" xfId="1" applyFont="1" applyFill="1" applyAlignment="1">
      <alignment horizontal="center" vertical="center" wrapText="1"/>
    </xf>
    <xf numFmtId="0" fontId="25" fillId="2" borderId="17" xfId="1" applyFont="1" applyFill="1" applyBorder="1" applyAlignment="1">
      <alignment horizontal="center"/>
    </xf>
    <xf numFmtId="0" fontId="25" fillId="2" borderId="16" xfId="1" applyFont="1" applyFill="1" applyBorder="1" applyAlignment="1">
      <alignment horizontal="center"/>
    </xf>
    <xf numFmtId="0" fontId="25" fillId="2" borderId="18" xfId="1" applyFont="1" applyFill="1" applyBorder="1" applyAlignment="1">
      <alignment horizontal="center"/>
    </xf>
    <xf numFmtId="49" fontId="26" fillId="0" borderId="0" xfId="1" applyNumberFormat="1" applyFont="1" applyAlignment="1" applyProtection="1">
      <alignment horizontal="center" vertical="center"/>
      <protection locked="0"/>
    </xf>
    <xf numFmtId="0" fontId="27" fillId="2" borderId="2" xfId="1" applyFont="1" applyFill="1" applyBorder="1" applyAlignment="1">
      <alignment horizontal="left" vertical="center" wrapText="1"/>
    </xf>
    <xf numFmtId="0" fontId="27" fillId="2" borderId="0" xfId="1" applyFont="1" applyFill="1" applyAlignment="1">
      <alignment horizontal="left" vertical="center"/>
    </xf>
    <xf numFmtId="0" fontId="26" fillId="0" borderId="0" xfId="0" applyFont="1" applyAlignment="1" applyProtection="1">
      <alignment horizontal="center" vertical="center"/>
      <protection locked="0"/>
    </xf>
    <xf numFmtId="0" fontId="25" fillId="4" borderId="2" xfId="1" applyFont="1" applyFill="1" applyBorder="1" applyAlignment="1">
      <alignment horizontal="center"/>
    </xf>
    <xf numFmtId="0" fontId="25" fillId="4" borderId="0" xfId="1" applyFont="1" applyFill="1" applyAlignment="1">
      <alignment horizontal="center"/>
    </xf>
    <xf numFmtId="0" fontId="25" fillId="2" borderId="0" xfId="1" applyFont="1" applyFill="1" applyAlignment="1">
      <alignment horizontal="center" vertical="center"/>
    </xf>
    <xf numFmtId="0" fontId="25" fillId="2" borderId="6" xfId="1" applyFont="1" applyFill="1" applyBorder="1" applyAlignment="1">
      <alignment horizontal="left" wrapText="1"/>
    </xf>
    <xf numFmtId="0" fontId="25" fillId="2" borderId="1" xfId="1" applyFont="1" applyFill="1" applyBorder="1" applyAlignment="1">
      <alignment horizontal="left" wrapText="1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1" xfId="1" applyFont="1" applyBorder="1" applyAlignment="1" applyProtection="1">
      <alignment horizontal="center" vertical="center"/>
      <protection locked="0"/>
    </xf>
    <xf numFmtId="0" fontId="26" fillId="0" borderId="1" xfId="1" applyFont="1" applyBorder="1" applyAlignment="1" applyProtection="1">
      <alignment vertical="center"/>
      <protection locked="0"/>
    </xf>
    <xf numFmtId="0" fontId="26" fillId="2" borderId="2" xfId="1" applyFont="1" applyFill="1" applyBorder="1" applyAlignment="1">
      <alignment horizontal="left" wrapText="1"/>
    </xf>
    <xf numFmtId="14" fontId="26" fillId="0" borderId="0" xfId="1" applyNumberFormat="1" applyFont="1" applyAlignment="1" applyProtection="1">
      <alignment horizontal="center" vertical="center"/>
      <protection locked="0"/>
    </xf>
    <xf numFmtId="0" fontId="26" fillId="0" borderId="0" xfId="1" applyFont="1" applyAlignment="1" applyProtection="1">
      <alignment vertical="center"/>
      <protection locked="0"/>
    </xf>
    <xf numFmtId="0" fontId="26" fillId="2" borderId="1" xfId="1" applyFont="1" applyFill="1" applyBorder="1" applyAlignment="1">
      <alignment horizontal="center" vertical="center" wrapText="1"/>
    </xf>
    <xf numFmtId="20" fontId="26" fillId="0" borderId="0" xfId="1" applyNumberFormat="1" applyFont="1" applyAlignment="1" applyProtection="1">
      <alignment horizontal="center" vertical="center"/>
      <protection locked="0"/>
    </xf>
    <xf numFmtId="0" fontId="26" fillId="2" borderId="2" xfId="1" applyFont="1" applyFill="1" applyBorder="1" applyAlignment="1">
      <alignment horizontal="left" vertical="center" wrapText="1"/>
    </xf>
    <xf numFmtId="0" fontId="26" fillId="2" borderId="0" xfId="1" applyFont="1" applyFill="1" applyAlignment="1">
      <alignment horizontal="left" vertical="center"/>
    </xf>
    <xf numFmtId="0" fontId="25" fillId="2" borderId="2" xfId="1" applyFont="1" applyFill="1" applyBorder="1" applyAlignment="1">
      <alignment horizontal="center" vertical="center"/>
    </xf>
    <xf numFmtId="0" fontId="26" fillId="4" borderId="26" xfId="1" applyFont="1" applyFill="1" applyBorder="1" applyAlignment="1">
      <alignment horizontal="center" vertical="center"/>
    </xf>
    <xf numFmtId="0" fontId="26" fillId="4" borderId="25" xfId="1" applyFont="1" applyFill="1" applyBorder="1" applyAlignment="1">
      <alignment horizontal="center" vertical="center"/>
    </xf>
    <xf numFmtId="0" fontId="26" fillId="3" borderId="16" xfId="1" applyFont="1" applyFill="1" applyBorder="1" applyAlignment="1">
      <alignment horizontal="center" vertical="center"/>
    </xf>
    <xf numFmtId="0" fontId="26" fillId="4" borderId="16" xfId="1" applyFont="1" applyFill="1" applyBorder="1" applyAlignment="1">
      <alignment horizontal="center"/>
    </xf>
    <xf numFmtId="0" fontId="34" fillId="4" borderId="17" xfId="1" applyFont="1" applyFill="1" applyBorder="1" applyAlignment="1">
      <alignment horizontal="center" vertical="center"/>
    </xf>
    <xf numFmtId="0" fontId="34" fillId="4" borderId="16" xfId="1" applyFont="1" applyFill="1" applyBorder="1" applyAlignment="1">
      <alignment horizontal="center" vertical="center"/>
    </xf>
    <xf numFmtId="0" fontId="34" fillId="4" borderId="17" xfId="1" applyFont="1" applyFill="1" applyBorder="1" applyAlignment="1">
      <alignment horizontal="center" vertical="center" wrapText="1"/>
    </xf>
    <xf numFmtId="0" fontId="34" fillId="4" borderId="16" xfId="1" applyFont="1" applyFill="1" applyBorder="1" applyAlignment="1">
      <alignment horizontal="center" vertical="center" wrapText="1"/>
    </xf>
    <xf numFmtId="0" fontId="9" fillId="3" borderId="0" xfId="0" applyFont="1" applyFill="1" applyAlignment="1">
      <alignment wrapText="1"/>
    </xf>
    <xf numFmtId="0" fontId="1" fillId="0" borderId="0" xfId="0" applyFont="1"/>
    <xf numFmtId="0" fontId="9" fillId="0" borderId="0" xfId="0" applyFont="1" applyAlignment="1">
      <alignment wrapText="1"/>
    </xf>
    <xf numFmtId="0" fontId="12" fillId="3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</cellXfs>
  <cellStyles count="2">
    <cellStyle name="一般" xfId="0" builtinId="0"/>
    <cellStyle name="一般 2" xfId="1" xr:uid="{BC47CBE3-AB3D-D840-8BAE-31EA7187724A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E3E3E3"/>
      <color rgb="FFFFF2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zh-TW" altLang="en-US" sz="1175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Mean Percent Cover Of Substrate For </a:t>
            </a:r>
            <a:r>
              <a:rPr lang="zh-TW" altLang="en-US" sz="1175" b="1" i="0" u="none" strike="noStrike" baseline="0">
                <a:solidFill>
                  <a:srgbClr val="3366FF"/>
                </a:solidFill>
                <a:latin typeface="Arial Narrow" charset="0"/>
                <a:cs typeface="Arial Narrow" charset="0"/>
              </a:rPr>
              <a:t>&lt;&lt;RC Reef name, depth and date&gt;&gt;</a:t>
            </a:r>
          </a:p>
        </c:rich>
      </c:tx>
      <c:layout>
        <c:manualLayout>
          <c:xMode val="edge"/>
          <c:yMode val="edge"/>
          <c:x val="0.12053569123531689"/>
          <c:y val="3.9800971687049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83922367683211"/>
          <c:y val="0.24378094647554072"/>
          <c:w val="0.8616066733187685"/>
          <c:h val="0.592039441440598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08-F24E-A3E2-0B881C94146D}"/>
              </c:ext>
            </c:extLst>
          </c:dPt>
          <c:dPt>
            <c:idx val="1"/>
            <c:invertIfNegative val="0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08-F24E-A3E2-0B881C94146D}"/>
              </c:ext>
            </c:extLst>
          </c:dPt>
          <c:dPt>
            <c:idx val="2"/>
            <c:invertIfNegative val="0"/>
            <c:bubble3D val="0"/>
            <c:spPr>
              <a:solidFill>
                <a:srgbClr val="9966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08-F24E-A3E2-0B881C94146D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808-F24E-A3E2-0B881C94146D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808-F24E-A3E2-0B881C94146D}"/>
              </c:ext>
            </c:extLst>
          </c:dPt>
          <c:dPt>
            <c:idx val="5"/>
            <c:invertIfNegative val="0"/>
            <c:bubble3D val="0"/>
            <c:spPr>
              <a:solidFill>
                <a:srgbClr val="424242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808-F24E-A3E2-0B881C94146D}"/>
              </c:ext>
            </c:extLst>
          </c:dPt>
          <c:dPt>
            <c:idx val="6"/>
            <c:invertIfNegative val="0"/>
            <c:bubble3D val="0"/>
            <c:spPr>
              <a:solidFill>
                <a:srgbClr val="808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808-F24E-A3E2-0B881C94146D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808-F24E-A3E2-0B881C94146D}"/>
              </c:ext>
            </c:extLst>
          </c:dPt>
          <c:dPt>
            <c:idx val="8"/>
            <c:invertIfNegative val="0"/>
            <c:bubble3D val="0"/>
            <c:spPr>
              <a:solidFill>
                <a:srgbClr val="999933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808-F24E-A3E2-0B881C94146D}"/>
              </c:ext>
            </c:extLst>
          </c:dPt>
          <c:dPt>
            <c:idx val="9"/>
            <c:invertIfNegative val="0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808-F24E-A3E2-0B881C94146D}"/>
              </c:ext>
            </c:extLst>
          </c:dPt>
          <c:errBars>
            <c:errBarType val="both"/>
            <c:errValType val="cust"/>
            <c:noEndCap val="0"/>
            <c:plus>
              <c:numRef>
                <c:f>GRAPHS!$C$5:$C$14</c:f>
                <c:numCache>
                  <c:formatCode>General</c:formatCode>
                  <c:ptCount val="0"/>
                </c:numCache>
              </c:numRef>
            </c:plus>
            <c:minus>
              <c:numRef>
                <c:f>GRAPHS!$C$5:$C$14</c:f>
                <c:numCache>
                  <c:formatCode>General</c:formatCode>
                  <c:ptCount val="0"/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GRAPHS!$A$5:$A$14</c:f>
              <c:strCache>
                <c:ptCount val="0"/>
              </c:strCache>
            </c:strRef>
          </c:cat>
          <c:val>
            <c:numRef>
              <c:f>GRAPHS!$B$5:$B$14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14-1808-F24E-A3E2-0B881C94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417648"/>
        <c:axId val="1"/>
      </c:barChart>
      <c:catAx>
        <c:axId val="162941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US" altLang="zh-TW"/>
                  <a:t>Mean Percent Cover + - SE</a:t>
                </a:r>
              </a:p>
            </c:rich>
          </c:tx>
          <c:layout>
            <c:manualLayout>
              <c:xMode val="edge"/>
              <c:yMode val="edge"/>
              <c:x val="2.9017899401919022E-2"/>
              <c:y val="0.27363176411459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62941764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zh-TW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zh-TW" altLang="en-US" sz="1200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Mean Percent Living Cover For</a:t>
            </a:r>
            <a:r>
              <a:rPr lang="zh-TW" altLang="en-US" sz="1200" b="1" i="0" u="none" strike="noStrike" baseline="0">
                <a:solidFill>
                  <a:srgbClr val="FF0000"/>
                </a:solidFill>
                <a:latin typeface="Arial Narrow" charset="0"/>
                <a:cs typeface="Arial Narrow" charset="0"/>
              </a:rPr>
              <a:t> </a:t>
            </a:r>
            <a:r>
              <a:rPr lang="zh-TW" altLang="en-US" sz="1200" b="1" i="0" u="none" strike="noStrike" baseline="0">
                <a:solidFill>
                  <a:srgbClr val="3366FF"/>
                </a:solidFill>
                <a:latin typeface="Arial Narrow" charset="0"/>
                <a:cs typeface="Arial Narrow" charset="0"/>
              </a:rPr>
              <a:t>&lt;&lt;RC Reef name, depth and date&gt;&gt;</a:t>
            </a:r>
          </a:p>
        </c:rich>
      </c:tx>
      <c:layout>
        <c:manualLayout>
          <c:xMode val="edge"/>
          <c:yMode val="edge"/>
          <c:x val="0.1150896248263085"/>
          <c:y val="7.68290931718641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2315886984711"/>
          <c:y val="0.28930728765204999"/>
          <c:w val="0.8432237146827235"/>
          <c:h val="0.5534574198560956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D4-BA40-AE34-DF0F636B8E07}"/>
              </c:ext>
            </c:extLst>
          </c:dPt>
          <c:dPt>
            <c:idx val="1"/>
            <c:invertIfNegative val="0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D4-BA40-AE34-DF0F636B8E07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D4-BA40-AE34-DF0F636B8E0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6D4-BA40-AE34-DF0F636B8E07}"/>
              </c:ext>
            </c:extLst>
          </c:dPt>
          <c:dPt>
            <c:idx val="4"/>
            <c:invertIfNegative val="0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6D4-BA40-AE34-DF0F636B8E07}"/>
              </c:ext>
            </c:extLst>
          </c:dPt>
          <c:errBars>
            <c:errBarType val="both"/>
            <c:errValType val="cust"/>
            <c:noEndCap val="0"/>
            <c:plus>
              <c:numRef>
                <c:f>GRAPHS!$C$20:$C$24</c:f>
                <c:numCache>
                  <c:formatCode>General</c:formatCode>
                  <c:ptCount val="0"/>
                </c:numCache>
              </c:numRef>
            </c:plus>
            <c:minus>
              <c:numRef>
                <c:f>GRAPHS!$C$20:$C$24</c:f>
                <c:numCache>
                  <c:formatCode>General</c:formatCode>
                  <c:ptCount val="0"/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GRAPHS!$A$20:$A$24</c:f>
              <c:strCache>
                <c:ptCount val="0"/>
              </c:strCache>
            </c:strRef>
          </c:cat>
          <c:val>
            <c:numRef>
              <c:f>GRAPHS!$B$20:$B$24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A-16D4-BA40-AE34-DF0F636B8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453760"/>
        <c:axId val="1"/>
      </c:barChart>
      <c:catAx>
        <c:axId val="162945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US" altLang="zh-TW"/>
                  <a:t>Mean Percent Cover + - SE</a:t>
                </a:r>
              </a:p>
            </c:rich>
          </c:tx>
          <c:layout>
            <c:manualLayout>
              <c:xMode val="edge"/>
              <c:yMode val="edge"/>
              <c:x val="1.7391104037527225E-2"/>
              <c:y val="0.201257515224390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62945376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Calibri" charset="0"/>
                <a:cs typeface="Calibri" charset="0"/>
              </a:rPr>
              <a:t>Mean Percent Non-Living Cover For </a:t>
            </a:r>
            <a:r>
              <a:rPr lang="zh-TW" altLang="en-US" sz="1200" b="1" i="0" u="none" strike="noStrike" baseline="0">
                <a:solidFill>
                  <a:srgbClr val="3366FF"/>
                </a:solidFill>
                <a:latin typeface="Arial Narrow" charset="0"/>
                <a:cs typeface="Arial Narrow" charset="0"/>
              </a:rPr>
              <a:t>&lt;&lt; RC Reef name, depth and date&gt;&gt;</a:t>
            </a:r>
          </a:p>
        </c:rich>
      </c:tx>
      <c:layout>
        <c:manualLayout>
          <c:xMode val="edge"/>
          <c:yMode val="edge"/>
          <c:x val="0.22352998182919442"/>
          <c:y val="0.116552904291218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03210175651118"/>
          <c:y val="0.36477875399606308"/>
          <c:w val="0.81339479103573586"/>
          <c:h val="0.477985953512082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66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34-5C44-82C8-147DAB3468E6}"/>
              </c:ext>
            </c:extLst>
          </c:dPt>
          <c:dPt>
            <c:idx val="1"/>
            <c:invertIfNegative val="0"/>
            <c:bubble3D val="0"/>
            <c:spPr>
              <a:solidFill>
                <a:srgbClr val="424242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34-5C44-82C8-147DAB3468E6}"/>
              </c:ext>
            </c:extLst>
          </c:dPt>
          <c:dPt>
            <c:idx val="2"/>
            <c:invertIfNegative val="0"/>
            <c:bubble3D val="0"/>
            <c:spPr>
              <a:solidFill>
                <a:srgbClr val="808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34-5C44-82C8-147DAB3468E6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34-5C44-82C8-147DAB3468E6}"/>
              </c:ext>
            </c:extLst>
          </c:dPt>
          <c:dPt>
            <c:idx val="4"/>
            <c:invertIfNegative val="0"/>
            <c:bubble3D val="0"/>
            <c:spPr>
              <a:solidFill>
                <a:srgbClr val="999933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34-5C44-82C8-147DAB3468E6}"/>
              </c:ext>
            </c:extLst>
          </c:dPt>
          <c:errBars>
            <c:errBarType val="both"/>
            <c:errValType val="cust"/>
            <c:noEndCap val="0"/>
            <c:plus>
              <c:numRef>
                <c:f>GRAPHS!$C$29:$C$33</c:f>
                <c:numCache>
                  <c:formatCode>General</c:formatCode>
                  <c:ptCount val="0"/>
                </c:numCache>
              </c:numRef>
            </c:plus>
            <c:minus>
              <c:numRef>
                <c:f>GRAPHS!$C$29:$C$4930</c:f>
                <c:numCache>
                  <c:formatCode>General</c:formatCode>
                  <c:ptCount val="0"/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GRAPHS!$A$29:$A$33</c:f>
              <c:strCache>
                <c:ptCount val="0"/>
              </c:strCache>
            </c:strRef>
          </c:cat>
          <c:val>
            <c:numRef>
              <c:f>GRAPHS!$B$29:$B$33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A-3034-5C44-82C8-147DAB34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148671"/>
        <c:axId val="1"/>
      </c:barChart>
      <c:catAx>
        <c:axId val="1772148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US" altLang="zh-TW"/>
                  <a:t>Mean Percent Cover +-SE</a:t>
                </a:r>
              </a:p>
            </c:rich>
          </c:tx>
          <c:layout>
            <c:manualLayout>
              <c:xMode val="edge"/>
              <c:yMode val="edge"/>
              <c:x val="5.4298775153105862E-2"/>
              <c:y val="0.289306853884643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772148671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zh-TW" altLang="en-US" sz="1400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Mean Percent Living Cover For</a:t>
            </a:r>
            <a:r>
              <a:rPr lang="zh-TW" altLang="en-US" sz="1400" b="0" i="0" u="none" strike="noStrike" baseline="0">
                <a:solidFill>
                  <a:srgbClr val="000000"/>
                </a:solidFill>
                <a:latin typeface="Calibri" charset="0"/>
                <a:cs typeface="Calibri" charset="0"/>
              </a:rPr>
              <a:t> &lt;&lt;RC Reef name, depth and date&gt;&gt;</a:t>
            </a:r>
          </a:p>
        </c:rich>
      </c:tx>
      <c:layout>
        <c:manualLayout>
          <c:xMode val="edge"/>
          <c:yMode val="edge"/>
          <c:x val="0.15769412324718857"/>
          <c:y val="7.889041708214421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869598446413967"/>
          <c:y val="0.38461461071386172"/>
          <c:w val="0.60434878834407113"/>
          <c:h val="0.30219719413231994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02-2A4F-B1E6-291B94ACD3BB}"/>
              </c:ext>
            </c:extLst>
          </c:dPt>
          <c:dPt>
            <c:idx val="1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02-2A4F-B1E6-291B94ACD3BB}"/>
              </c:ext>
            </c:extLst>
          </c:dPt>
          <c:dPt>
            <c:idx val="2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702-2A4F-B1E6-291B94ACD3B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702-2A4F-B1E6-291B94ACD3BB}"/>
              </c:ext>
            </c:extLst>
          </c:dPt>
          <c:dPt>
            <c:idx val="4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702-2A4F-B1E6-291B94ACD3BB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GRAPHS!$A$20:$A$24</c:f>
              <c:strCache>
                <c:ptCount val="0"/>
              </c:strCache>
            </c:strRef>
          </c:cat>
          <c:val>
            <c:numRef>
              <c:f>GRAPHS!$B$20:$B$24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A-3702-2A4F-B1E6-291B94ACD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0912038401616921E-2"/>
          <c:y val="0.76066342770983408"/>
          <c:w val="0.33690892248094656"/>
          <c:h val="0.2074535098006365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rgbClr val="FFFFFF"/>
    </a:solidFill>
    <a:ln w="12700">
      <a:solidFill>
        <a:srgbClr val="FFFFFF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zh-TW" altLang="en-US" sz="1400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Mean Percent Non-Living Cover For </a:t>
            </a:r>
            <a:r>
              <a:rPr lang="zh-TW" altLang="en-US" sz="1400" b="1" i="0" u="none" strike="noStrike" baseline="0">
                <a:solidFill>
                  <a:srgbClr val="3366FF"/>
                </a:solidFill>
                <a:latin typeface="Arial Narrow" charset="0"/>
                <a:cs typeface="Arial Narrow" charset="0"/>
              </a:rPr>
              <a:t>&lt;&lt; RC Reef name, depth and date&gt;&gt;</a:t>
            </a:r>
          </a:p>
        </c:rich>
      </c:tx>
      <c:layout>
        <c:manualLayout>
          <c:xMode val="edge"/>
          <c:yMode val="edge"/>
          <c:x val="0.11210738080816822"/>
          <c:y val="3.91061928069802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937200093276945"/>
          <c:y val="0.32402234636871508"/>
          <c:w val="0.6636764034512469"/>
          <c:h val="0.32402234636871508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spPr>
              <a:solidFill>
                <a:srgbClr val="9966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C5-8E42-9893-045CDEE3FD1B}"/>
              </c:ext>
            </c:extLst>
          </c:dPt>
          <c:dPt>
            <c:idx val="1"/>
            <c:bubble3D val="0"/>
            <c:spPr>
              <a:solidFill>
                <a:srgbClr val="424242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C5-8E42-9893-045CDEE3FD1B}"/>
              </c:ext>
            </c:extLst>
          </c:dPt>
          <c:dPt>
            <c:idx val="2"/>
            <c:bubble3D val="0"/>
            <c:spPr>
              <a:solidFill>
                <a:srgbClr val="8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0C5-8E42-9893-045CDEE3FD1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0C5-8E42-9893-045CDEE3FD1B}"/>
              </c:ext>
            </c:extLst>
          </c:dPt>
          <c:dPt>
            <c:idx val="4"/>
            <c:bubble3D val="0"/>
            <c:spPr>
              <a:solidFill>
                <a:srgbClr val="999933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0C5-8E42-9893-045CDEE3FD1B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GRAPHS!$A$29:$A$33</c:f>
              <c:strCache>
                <c:ptCount val="0"/>
              </c:strCache>
            </c:strRef>
          </c:cat>
          <c:val>
            <c:numRef>
              <c:f>GRAPHS!$B$29:$B$33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A-50C5-8E42-9893-045CDEE3F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0118638693653225E-2"/>
          <c:y val="0.75389566030273603"/>
          <c:w val="0.36264861123128833"/>
          <c:h val="0.20541264098744416"/>
        </c:manualLayout>
      </c:layout>
      <c:overlay val="0"/>
      <c:spPr>
        <a:solidFill>
          <a:srgbClr val="FFFFFF"/>
        </a:solidFill>
        <a:ln w="3175">
          <a:solidFill>
            <a:srgbClr val="FFFFFF"/>
          </a:solidFill>
          <a:prstDash val="solid"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rgbClr val="FFFFFF"/>
    </a:solidFill>
    <a:ln w="12700">
      <a:solidFill>
        <a:srgbClr val="FFFFFF"/>
      </a:solidFill>
      <a:prstDash val="solid"/>
    </a:ln>
  </c:spPr>
  <c:txPr>
    <a:bodyPr/>
    <a:lstStyle/>
    <a:p>
      <a:pPr>
        <a:defRPr sz="1175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r>
              <a:rPr lang="zh-TW"/>
              <a:t>白化珊瑚佔比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GRAPHS!$B$38</c:f>
              <c:strCache>
                <c:ptCount val="0"/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GRAPHS!$A$39:$A$40</c:f>
              <c:strCache>
                <c:ptCount val="0"/>
              </c:strCache>
            </c:strRef>
          </c:cat>
          <c:val>
            <c:numRef>
              <c:f>GRAPHS!$B$39:$B$40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817C-BA45-8C29-3C93178C51E9}"/>
            </c:ext>
          </c:extLst>
        </c:ser>
        <c:ser>
          <c:idx val="1"/>
          <c:order val="1"/>
          <c:tx>
            <c:strRef>
              <c:f>GRAPHS!$C$38</c:f>
              <c:strCache>
                <c:ptCount val="0"/>
              </c:strCache>
            </c:strRef>
          </c:tx>
          <c:spPr>
            <a:solidFill>
              <a:srgbClr val="FFF295"/>
            </a:solidFill>
            <a:ln>
              <a:noFill/>
            </a:ln>
            <a:effectLst/>
          </c:spPr>
          <c:invertIfNegative val="0"/>
          <c:cat>
            <c:strRef>
              <c:f>GRAPHS!$A$39:$A$40</c:f>
              <c:strCache>
                <c:ptCount val="0"/>
              </c:strCache>
            </c:strRef>
          </c:cat>
          <c:val>
            <c:numRef>
              <c:f>GRAPHS!$C$39:$C$40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1-817C-BA45-8C29-3C93178C5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4964112"/>
        <c:axId val="1034965824"/>
      </c:barChart>
      <c:catAx>
        <c:axId val="103496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1034965824"/>
        <c:crosses val="autoZero"/>
        <c:auto val="1"/>
        <c:lblAlgn val="ctr"/>
        <c:lblOffset val="100"/>
        <c:noMultiLvlLbl val="0"/>
      </c:catAx>
      <c:valAx>
        <c:axId val="103496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103496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>
          <a:latin typeface="Microsoft JhengHei" panose="020B0604030504040204" pitchFamily="34" charset="-120"/>
          <a:ea typeface="Microsoft JhengHei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zh-TW" altLang="en-US" sz="1175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Mean Percent Cover Of Substrate For </a:t>
            </a:r>
            <a:r>
              <a:rPr lang="zh-TW" altLang="en-US" sz="1175" b="1" i="0" u="none" strike="noStrike" baseline="0">
                <a:solidFill>
                  <a:srgbClr val="3366FF"/>
                </a:solidFill>
                <a:latin typeface="Arial Narrow" charset="0"/>
                <a:cs typeface="Arial Narrow" charset="0"/>
              </a:rPr>
              <a:t>&lt;&lt;RC Reef name, depth and date&gt;&gt;</a:t>
            </a:r>
          </a:p>
        </c:rich>
      </c:tx>
      <c:layout>
        <c:manualLayout>
          <c:xMode val="edge"/>
          <c:yMode val="edge"/>
          <c:x val="0.12053569123531689"/>
          <c:y val="3.9800971687049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83922367683211"/>
          <c:y val="0.24378094647554072"/>
          <c:w val="0.8616066733187685"/>
          <c:h val="0.592039441440598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C5-E74E-9358-55F2357A5C61}"/>
              </c:ext>
            </c:extLst>
          </c:dPt>
          <c:dPt>
            <c:idx val="1"/>
            <c:invertIfNegative val="0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C5-E74E-9358-55F2357A5C61}"/>
              </c:ext>
            </c:extLst>
          </c:dPt>
          <c:dPt>
            <c:idx val="2"/>
            <c:invertIfNegative val="0"/>
            <c:bubble3D val="0"/>
            <c:spPr>
              <a:solidFill>
                <a:srgbClr val="9966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C5-E74E-9358-55F2357A5C61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C5-E74E-9358-55F2357A5C61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C5-E74E-9358-55F2357A5C61}"/>
              </c:ext>
            </c:extLst>
          </c:dPt>
          <c:dPt>
            <c:idx val="5"/>
            <c:invertIfNegative val="0"/>
            <c:bubble3D val="0"/>
            <c:spPr>
              <a:solidFill>
                <a:srgbClr val="424242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7C5-E74E-9358-55F2357A5C61}"/>
              </c:ext>
            </c:extLst>
          </c:dPt>
          <c:dPt>
            <c:idx val="6"/>
            <c:invertIfNegative val="0"/>
            <c:bubble3D val="0"/>
            <c:spPr>
              <a:solidFill>
                <a:srgbClr val="808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7C5-E74E-9358-55F2357A5C61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7C5-E74E-9358-55F2357A5C61}"/>
              </c:ext>
            </c:extLst>
          </c:dPt>
          <c:dPt>
            <c:idx val="8"/>
            <c:invertIfNegative val="0"/>
            <c:bubble3D val="0"/>
            <c:spPr>
              <a:solidFill>
                <a:srgbClr val="999933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7C5-E74E-9358-55F2357A5C61}"/>
              </c:ext>
            </c:extLst>
          </c:dPt>
          <c:dPt>
            <c:idx val="9"/>
            <c:invertIfNegative val="0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7C5-E74E-9358-55F2357A5C61}"/>
              </c:ext>
            </c:extLst>
          </c:dPt>
          <c:errBars>
            <c:errBarType val="both"/>
            <c:errValType val="cust"/>
            <c:noEndCap val="0"/>
            <c:plus>
              <c:numRef>
                <c:f>GRAPHS_SI!$C$5:$C$25</c:f>
                <c:numCache>
                  <c:formatCode>General</c:formatCode>
                  <c:ptCount val="0"/>
                </c:numCache>
              </c:numRef>
            </c:plus>
            <c:minus>
              <c:numRef>
                <c:f>GRAPHS_SI!$C$5:$C$25</c:f>
                <c:numCache>
                  <c:formatCode>General</c:formatCode>
                  <c:ptCount val="0"/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GRAPHS_SI!$A$5:$A$25</c:f>
              <c:strCache>
                <c:ptCount val="0"/>
              </c:strCache>
            </c:strRef>
          </c:cat>
          <c:val>
            <c:numRef>
              <c:f>GRAPHS_SI!$B$5:$B$25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14-E7C5-E74E-9358-55F2357A5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417648"/>
        <c:axId val="1"/>
      </c:barChart>
      <c:catAx>
        <c:axId val="162941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US" altLang="zh-TW"/>
                  <a:t>Mean Percent Cover + - SE</a:t>
                </a:r>
              </a:p>
            </c:rich>
          </c:tx>
          <c:layout>
            <c:manualLayout>
              <c:xMode val="edge"/>
              <c:yMode val="edge"/>
              <c:x val="2.9017899401919022E-2"/>
              <c:y val="0.27363176411459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62941764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zh-TW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 altLang="zh-TW" sz="1200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2026 </a:t>
            </a:r>
            <a:r>
              <a:rPr lang="zh-TW" altLang="en-US" sz="1200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墾丁合界春季</a:t>
            </a:r>
            <a:r>
              <a:rPr lang="en-US" altLang="zh-TW" sz="1200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_10m</a:t>
            </a:r>
            <a:r>
              <a:rPr lang="zh-TW" altLang="en-US" sz="1200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 硬珊瑚型態覆蓋率 </a:t>
            </a:r>
            <a:endParaRPr lang="zh-TW" altLang="en-US" sz="1200" b="1" i="0" u="none" strike="noStrike" baseline="0">
              <a:solidFill>
                <a:srgbClr val="3366FF"/>
              </a:solidFill>
              <a:latin typeface="Arial Narrow" charset="0"/>
              <a:cs typeface="Arial Narrow" charset="0"/>
            </a:endParaRPr>
          </a:p>
        </c:rich>
      </c:tx>
      <c:layout>
        <c:manualLayout>
          <c:xMode val="edge"/>
          <c:yMode val="edge"/>
          <c:x val="0.24744256600277906"/>
          <c:y val="6.78605981427209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2315886984711"/>
          <c:y val="0.28930728765204999"/>
          <c:w val="0.8432237146827235"/>
          <c:h val="0.5534574198560956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FD-FF4E-9E2E-AC1588B0FC2D}"/>
              </c:ext>
            </c:extLst>
          </c:dPt>
          <c:dPt>
            <c:idx val="1"/>
            <c:invertIfNegative val="0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FD-FF4E-9E2E-AC1588B0FC2D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FD-FF4E-9E2E-AC1588B0FC2D}"/>
              </c:ext>
            </c:extLst>
          </c:dPt>
          <c:errBars>
            <c:errBarType val="both"/>
            <c:errValType val="cust"/>
            <c:noEndCap val="0"/>
            <c:plus>
              <c:numRef>
                <c:f>GRAPHS_SI!$C$31:$C$33</c:f>
                <c:numCache>
                  <c:formatCode>General</c:formatCode>
                  <c:ptCount val="0"/>
                </c:numCache>
              </c:numRef>
            </c:plus>
            <c:minus>
              <c:numRef>
                <c:f>GRAPHS_SI!$C$31:$C$33</c:f>
                <c:numCache>
                  <c:formatCode>General</c:formatCode>
                  <c:ptCount val="0"/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GRAPHS_SI!$A$31:$A$33</c:f>
              <c:strCache>
                <c:ptCount val="0"/>
              </c:strCache>
            </c:strRef>
          </c:cat>
          <c:val>
            <c:numRef>
              <c:f>GRAPHS_SI!$B$31:$B$33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A-B8FD-FF4E-9E2E-AC1588B0F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453760"/>
        <c:axId val="1"/>
      </c:barChart>
      <c:catAx>
        <c:axId val="162945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US" altLang="zh-TW"/>
                  <a:t>Mean Percent Cover + - SE</a:t>
                </a:r>
              </a:p>
            </c:rich>
          </c:tx>
          <c:layout>
            <c:manualLayout>
              <c:xMode val="edge"/>
              <c:yMode val="edge"/>
              <c:x val="1.7391104037527225E-2"/>
              <c:y val="0.201257515224390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zh-TW"/>
          </a:p>
        </c:txPr>
        <c:crossAx val="162945376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zh-TW" altLang="en-US" sz="1400" b="1" i="0" u="none" strike="noStrike" baseline="0">
                <a:solidFill>
                  <a:srgbClr val="000000"/>
                </a:solidFill>
                <a:latin typeface="Arial Narrow" charset="0"/>
                <a:cs typeface="Arial Narrow" charset="0"/>
              </a:rPr>
              <a:t>珊瑚型態覆蓋率 圓餅圖</a:t>
            </a:r>
            <a:r>
              <a:rPr lang="zh-TW" altLang="en-US" sz="1400" b="0" i="0" u="none" strike="noStrike" baseline="0">
                <a:solidFill>
                  <a:srgbClr val="000000"/>
                </a:solidFill>
                <a:latin typeface="Calibri" charset="0"/>
                <a:cs typeface="Calibri" charset="0"/>
              </a:rPr>
              <a:t>&lt;&lt;RC Reef name, depth and date&gt;&gt;</a:t>
            </a:r>
          </a:p>
        </c:rich>
      </c:tx>
      <c:layout>
        <c:manualLayout>
          <c:xMode val="edge"/>
          <c:yMode val="edge"/>
          <c:x val="0.15769412324718857"/>
          <c:y val="7.889041708214421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869598446413967"/>
          <c:y val="0.38461461071386172"/>
          <c:w val="0.60434878834407113"/>
          <c:h val="0.30219719413231994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FE-4B46-9C27-398DF6CA77BB}"/>
              </c:ext>
            </c:extLst>
          </c:dPt>
          <c:dPt>
            <c:idx val="1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FE-4B46-9C27-398DF6CA77BB}"/>
              </c:ext>
            </c:extLst>
          </c:dPt>
          <c:dPt>
            <c:idx val="2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FE-4B46-9C27-398DF6CA77BB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GRAPHS_SI!$A$31:$A$33</c:f>
              <c:strCache>
                <c:ptCount val="0"/>
              </c:strCache>
            </c:strRef>
          </c:cat>
          <c:val>
            <c:numRef>
              <c:f>GRAPHS_SI!$B$31:$B$33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A-CDFE-4B46-9C27-398DF6CA7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0912038401616921E-2"/>
          <c:y val="0.76066342770983408"/>
          <c:w val="0.33690892248094656"/>
          <c:h val="0.2074535098006365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rgbClr val="FFFFFF"/>
    </a:solidFill>
    <a:ln w="12700">
      <a:solidFill>
        <a:srgbClr val="FFFFFF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7</xdr:row>
      <xdr:rowOff>76200</xdr:rowOff>
    </xdr:from>
    <xdr:to>
      <xdr:col>15</xdr:col>
      <xdr:colOff>76200</xdr:colOff>
      <xdr:row>20</xdr:row>
      <xdr:rowOff>165100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3EAAB33-AE35-864B-A897-EA042483F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12700</xdr:colOff>
      <xdr:row>22</xdr:row>
      <xdr:rowOff>139700</xdr:rowOff>
    </xdr:from>
    <xdr:to>
      <xdr:col>10</xdr:col>
      <xdr:colOff>292100</xdr:colOff>
      <xdr:row>35</xdr:row>
      <xdr:rowOff>152400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768CB7F7-346B-BD4D-B512-0F95F20F5204}"/>
            </a:ext>
            <a:ext uri="{147F2762-F138-4A5C-976F-8EAC2B608ADB}">
              <a16:predDERef xmlns:a16="http://schemas.microsoft.com/office/drawing/2014/main" pred="{4C774409-5317-4141-20A4-A0B1D16AB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10</xdr:col>
      <xdr:colOff>469900</xdr:colOff>
      <xdr:row>21</xdr:row>
      <xdr:rowOff>101600</xdr:rowOff>
    </xdr:from>
    <xdr:to>
      <xdr:col>16</xdr:col>
      <xdr:colOff>495300</xdr:colOff>
      <xdr:row>36</xdr:row>
      <xdr:rowOff>101600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5F991818-2A4C-8040-B073-D525DA884C68}"/>
            </a:ext>
            <a:ext uri="{147F2762-F138-4A5C-976F-8EAC2B608ADB}">
              <a16:predDERef xmlns:a16="http://schemas.microsoft.com/office/drawing/2014/main" pred="{4F4A7AAB-1B3E-CE71-6BBE-3DABA6B02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4</xdr:col>
      <xdr:colOff>50800</xdr:colOff>
      <xdr:row>37</xdr:row>
      <xdr:rowOff>38100</xdr:rowOff>
    </xdr:from>
    <xdr:to>
      <xdr:col>11</xdr:col>
      <xdr:colOff>381000</xdr:colOff>
      <xdr:row>52</xdr:row>
      <xdr:rowOff>63500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72EF016F-1C1A-BF4E-8AEE-8594B28CE440}"/>
            </a:ext>
            <a:ext uri="{147F2762-F138-4A5C-976F-8EAC2B608ADB}">
              <a16:predDERef xmlns:a16="http://schemas.microsoft.com/office/drawing/2014/main" pred="{14933635-8107-E61B-D4ED-E00B92D6B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11</xdr:col>
      <xdr:colOff>76200</xdr:colOff>
      <xdr:row>37</xdr:row>
      <xdr:rowOff>63500</xdr:rowOff>
    </xdr:from>
    <xdr:to>
      <xdr:col>16</xdr:col>
      <xdr:colOff>584200</xdr:colOff>
      <xdr:row>52</xdr:row>
      <xdr:rowOff>139700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E10D79B-E066-4441-8D4D-4DE41D1E2A81}"/>
            </a:ext>
            <a:ext uri="{147F2762-F138-4A5C-976F-8EAC2B608ADB}">
              <a16:predDERef xmlns:a16="http://schemas.microsoft.com/office/drawing/2014/main" pred="{83A409CB-B041-8CA0-76FD-16BC10768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6</xdr:col>
      <xdr:colOff>596900</xdr:colOff>
      <xdr:row>54</xdr:row>
      <xdr:rowOff>127000</xdr:rowOff>
    </xdr:from>
    <xdr:to>
      <xdr:col>13</xdr:col>
      <xdr:colOff>457200</xdr:colOff>
      <xdr:row>71</xdr:row>
      <xdr:rowOff>63500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A193476F-385A-0D7B-2D0B-DD8076F37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7</xdr:row>
      <xdr:rowOff>76200</xdr:rowOff>
    </xdr:from>
    <xdr:to>
      <xdr:col>16</xdr:col>
      <xdr:colOff>177800</xdr:colOff>
      <xdr:row>31</xdr:row>
      <xdr:rowOff>165100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F0ACD8C-13F1-8349-91E0-CF0F68AD7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12700</xdr:colOff>
      <xdr:row>36</xdr:row>
      <xdr:rowOff>0</xdr:rowOff>
    </xdr:from>
    <xdr:to>
      <xdr:col>10</xdr:col>
      <xdr:colOff>292100</xdr:colOff>
      <xdr:row>50</xdr:row>
      <xdr:rowOff>152400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4A1FF06-76B0-874C-AE37-57C794AA3498}"/>
            </a:ext>
            <a:ext uri="{147F2762-F138-4A5C-976F-8EAC2B608ADB}">
              <a16:predDERef xmlns:a16="http://schemas.microsoft.com/office/drawing/2014/main" pred="{4C774409-5317-4141-20A4-A0B1D16AB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4</xdr:col>
      <xdr:colOff>50800</xdr:colOff>
      <xdr:row>50</xdr:row>
      <xdr:rowOff>88900</xdr:rowOff>
    </xdr:from>
    <xdr:to>
      <xdr:col>11</xdr:col>
      <xdr:colOff>381000</xdr:colOff>
      <xdr:row>61</xdr:row>
      <xdr:rowOff>127000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41C907BD-4D0A-D140-BAF6-82E536E2B90A}"/>
            </a:ext>
            <a:ext uri="{147F2762-F138-4A5C-976F-8EAC2B608ADB}">
              <a16:predDERef xmlns:a16="http://schemas.microsoft.com/office/drawing/2014/main" pred="{14933635-8107-E61B-D4ED-E00B92D6B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D145-9E36-2744-B259-8F6644B41C22}">
  <sheetPr codeName="工作表1"/>
  <dimension ref="A1:CA217"/>
  <sheetViews>
    <sheetView topLeftCell="A62" zoomScale="125" zoomScaleNormal="110" workbookViewId="0">
      <selection activeCell="Z6" sqref="Z6"/>
    </sheetView>
  </sheetViews>
  <sheetFormatPr baseColWidth="10" defaultColWidth="11.5" defaultRowHeight="18"/>
  <cols>
    <col min="1" max="1" width="6.83203125" style="86" customWidth="1"/>
    <col min="2" max="2" width="7.1640625" style="87" customWidth="1"/>
    <col min="3" max="3" width="6.83203125" style="87" customWidth="1"/>
    <col min="4" max="4" width="5.83203125" style="87" customWidth="1"/>
    <col min="5" max="5" width="7" style="87" customWidth="1"/>
    <col min="6" max="6" width="5.6640625" style="87" customWidth="1"/>
    <col min="7" max="7" width="7" style="87" customWidth="1"/>
    <col min="8" max="8" width="5.83203125" style="87" customWidth="1"/>
    <col min="9" max="9" width="7.83203125" style="87" customWidth="1"/>
    <col min="10" max="11" width="5.83203125" style="87" customWidth="1"/>
    <col min="12" max="12" width="6.33203125" style="87" customWidth="1"/>
    <col min="13" max="13" width="7.1640625" style="87" customWidth="1"/>
    <col min="14" max="14" width="6.6640625" style="49" customWidth="1"/>
    <col min="15" max="15" width="6.6640625" style="87" customWidth="1"/>
    <col min="16" max="16" width="5.83203125" style="49" customWidth="1"/>
    <col min="17" max="17" width="14.1640625" style="49" customWidth="1"/>
    <col min="18" max="18" width="16.6640625" style="49" customWidth="1"/>
    <col min="19" max="19" width="17.1640625" style="49" customWidth="1"/>
    <col min="20" max="20" width="8.83203125" style="49" customWidth="1"/>
    <col min="21" max="21" width="2.33203125" style="49" customWidth="1"/>
    <col min="22" max="22" width="4.83203125" style="49" customWidth="1"/>
    <col min="23" max="23" width="4.83203125" style="48" customWidth="1"/>
    <col min="24" max="24" width="5.83203125" style="48" customWidth="1"/>
    <col min="25" max="25" width="4.83203125" style="48" customWidth="1"/>
    <col min="26" max="26" width="6.1640625" style="48" customWidth="1"/>
    <col min="27" max="27" width="4.83203125" style="48" customWidth="1"/>
    <col min="28" max="28" width="6" style="48" customWidth="1"/>
    <col min="29" max="29" width="4.83203125" style="48" customWidth="1"/>
    <col min="30" max="30" width="6" style="48" customWidth="1"/>
    <col min="31" max="31" width="4.83203125" style="48" customWidth="1"/>
    <col min="32" max="32" width="6.1640625" style="48" customWidth="1"/>
    <col min="33" max="33" width="4.83203125" style="48" customWidth="1"/>
    <col min="34" max="34" width="6.1640625" style="48" customWidth="1"/>
    <col min="35" max="35" width="4.83203125" style="48" customWidth="1"/>
    <col min="36" max="36" width="6" style="48" customWidth="1"/>
    <col min="37" max="37" width="4.83203125" style="48" customWidth="1"/>
    <col min="38" max="38" width="8.83203125" style="48" customWidth="1"/>
    <col min="39" max="39" width="14.33203125" style="48" customWidth="1"/>
    <col min="40" max="44" width="8.83203125" style="48" customWidth="1"/>
    <col min="45" max="79" width="8.83203125" style="49" customWidth="1"/>
    <col min="80" max="16384" width="11.5" style="49"/>
  </cols>
  <sheetData>
    <row r="1" spans="1:79" ht="40" customHeight="1">
      <c r="A1" s="207" t="s">
        <v>145</v>
      </c>
      <c r="B1" s="208"/>
      <c r="C1" s="209"/>
      <c r="D1" s="209"/>
      <c r="E1" s="209"/>
      <c r="F1" s="209"/>
      <c r="G1" s="45"/>
      <c r="H1" s="215" t="s">
        <v>146</v>
      </c>
      <c r="I1" s="215"/>
      <c r="J1" s="215"/>
      <c r="K1" s="210" t="s">
        <v>147</v>
      </c>
      <c r="L1" s="210"/>
      <c r="M1" s="211"/>
      <c r="N1" s="211"/>
      <c r="O1" s="211"/>
      <c r="P1" s="46"/>
      <c r="Q1" s="47" t="s">
        <v>148</v>
      </c>
      <c r="R1" s="47" t="s">
        <v>149</v>
      </c>
      <c r="S1" s="47" t="s">
        <v>150</v>
      </c>
      <c r="T1" s="48"/>
      <c r="U1" s="48"/>
      <c r="V1" s="48"/>
    </row>
    <row r="2" spans="1:79" ht="40" customHeight="1">
      <c r="A2" s="212" t="s">
        <v>151</v>
      </c>
      <c r="B2" s="188"/>
      <c r="C2" s="192"/>
      <c r="D2" s="200"/>
      <c r="E2" s="200"/>
      <c r="F2" s="200"/>
      <c r="G2" s="50"/>
      <c r="H2" s="196" t="s">
        <v>152</v>
      </c>
      <c r="I2" s="196"/>
      <c r="J2" s="196"/>
      <c r="K2" s="213"/>
      <c r="L2" s="192"/>
      <c r="M2" s="214"/>
      <c r="N2" s="214"/>
      <c r="O2" s="214"/>
      <c r="P2" s="51"/>
      <c r="Q2" s="52">
        <v>1</v>
      </c>
      <c r="R2" s="52" t="s">
        <v>153</v>
      </c>
      <c r="S2" s="52" t="s">
        <v>127</v>
      </c>
      <c r="T2" s="48"/>
      <c r="U2" s="48"/>
      <c r="V2" s="48"/>
    </row>
    <row r="3" spans="1:79" ht="40" customHeight="1">
      <c r="A3" s="212" t="s">
        <v>154</v>
      </c>
      <c r="B3" s="188"/>
      <c r="C3" s="192"/>
      <c r="D3" s="192"/>
      <c r="E3" s="192"/>
      <c r="F3" s="192"/>
      <c r="G3" s="50"/>
      <c r="H3" s="194" t="s">
        <v>155</v>
      </c>
      <c r="I3" s="194"/>
      <c r="J3" s="194"/>
      <c r="K3" s="53"/>
      <c r="L3" s="203"/>
      <c r="M3" s="203"/>
      <c r="N3" s="203"/>
      <c r="O3" s="203"/>
      <c r="P3" s="51"/>
      <c r="Q3" s="52">
        <v>2</v>
      </c>
      <c r="R3" s="52" t="s">
        <v>156</v>
      </c>
      <c r="S3" s="52" t="s">
        <v>144</v>
      </c>
      <c r="T3" s="48"/>
      <c r="U3" s="48"/>
      <c r="V3" s="48"/>
    </row>
    <row r="4" spans="1:79" ht="40" customHeight="1">
      <c r="A4" s="212" t="s">
        <v>157</v>
      </c>
      <c r="B4" s="188"/>
      <c r="C4" s="216"/>
      <c r="D4" s="192"/>
      <c r="E4" s="192"/>
      <c r="F4" s="192"/>
      <c r="G4" s="50"/>
      <c r="H4" s="195" t="s">
        <v>158</v>
      </c>
      <c r="I4" s="195"/>
      <c r="J4" s="195"/>
      <c r="K4" s="195"/>
      <c r="L4" s="192"/>
      <c r="M4" s="200"/>
      <c r="N4" s="200"/>
      <c r="O4" s="200"/>
      <c r="P4" s="51"/>
      <c r="Q4" s="52">
        <v>3</v>
      </c>
      <c r="R4" s="52" t="s">
        <v>159</v>
      </c>
      <c r="S4" s="52" t="s">
        <v>130</v>
      </c>
      <c r="T4" s="48"/>
      <c r="U4" s="48"/>
      <c r="V4" s="48"/>
    </row>
    <row r="5" spans="1:79" ht="40" customHeight="1">
      <c r="A5" s="217" t="s">
        <v>160</v>
      </c>
      <c r="B5" s="218"/>
      <c r="C5" s="192"/>
      <c r="D5" s="192"/>
      <c r="E5" s="192"/>
      <c r="F5" s="192"/>
      <c r="G5" s="50"/>
      <c r="H5" s="196" t="s">
        <v>161</v>
      </c>
      <c r="I5" s="195"/>
      <c r="J5" s="195"/>
      <c r="K5" s="195"/>
      <c r="L5" s="192"/>
      <c r="M5" s="200"/>
      <c r="N5" s="200"/>
      <c r="O5" s="200"/>
      <c r="P5" s="51"/>
      <c r="Q5" s="52">
        <v>4</v>
      </c>
      <c r="R5" s="52" t="s">
        <v>162</v>
      </c>
      <c r="S5" s="52" t="s">
        <v>131</v>
      </c>
      <c r="T5" s="48"/>
      <c r="U5" s="48"/>
      <c r="V5" s="48"/>
    </row>
    <row r="6" spans="1:79" ht="40" customHeight="1">
      <c r="A6" s="201" t="s">
        <v>163</v>
      </c>
      <c r="B6" s="202"/>
      <c r="C6" s="192"/>
      <c r="D6" s="192"/>
      <c r="E6" s="192"/>
      <c r="F6" s="192"/>
      <c r="G6" s="54"/>
      <c r="H6" s="196" t="s">
        <v>164</v>
      </c>
      <c r="I6" s="195"/>
      <c r="J6" s="195"/>
      <c r="K6" s="195"/>
      <c r="L6" s="192"/>
      <c r="M6" s="200"/>
      <c r="N6" s="200"/>
      <c r="O6" s="200"/>
      <c r="P6" s="55"/>
      <c r="Q6" s="52">
        <v>5</v>
      </c>
      <c r="R6" s="52" t="s">
        <v>165</v>
      </c>
      <c r="S6" s="52" t="s">
        <v>132</v>
      </c>
      <c r="T6" s="48"/>
      <c r="U6" s="48"/>
    </row>
    <row r="7" spans="1:79" ht="35" customHeight="1">
      <c r="A7" s="219" t="s">
        <v>166</v>
      </c>
      <c r="B7" s="206"/>
      <c r="C7" s="192"/>
      <c r="D7" s="192"/>
      <c r="E7" s="192"/>
      <c r="F7" s="192"/>
      <c r="G7" s="58"/>
      <c r="H7" s="206" t="s">
        <v>167</v>
      </c>
      <c r="I7" s="206"/>
      <c r="J7" s="206"/>
      <c r="K7" s="206"/>
      <c r="L7" s="192"/>
      <c r="M7" s="192"/>
      <c r="N7" s="192"/>
      <c r="O7" s="192"/>
      <c r="P7" s="51"/>
      <c r="Q7" s="52">
        <v>6</v>
      </c>
      <c r="R7" s="52" t="s">
        <v>168</v>
      </c>
      <c r="S7" s="52" t="s">
        <v>133</v>
      </c>
      <c r="T7" s="48"/>
      <c r="U7" s="48"/>
      <c r="V7" s="48"/>
    </row>
    <row r="8" spans="1:79" ht="22" customHeight="1">
      <c r="A8" s="204" t="s">
        <v>169</v>
      </c>
      <c r="B8" s="205"/>
      <c r="C8" s="192"/>
      <c r="D8" s="192"/>
      <c r="E8" s="192"/>
      <c r="F8" s="192"/>
      <c r="G8" s="57"/>
      <c r="H8" s="57"/>
      <c r="I8" s="54"/>
      <c r="J8" s="57"/>
      <c r="K8" s="57"/>
      <c r="L8" s="54"/>
      <c r="M8" s="53"/>
      <c r="N8" s="53"/>
      <c r="O8" s="50"/>
      <c r="P8" s="51"/>
      <c r="Q8" s="52">
        <v>7</v>
      </c>
      <c r="R8" s="52" t="s">
        <v>170</v>
      </c>
      <c r="S8" s="52" t="s">
        <v>134</v>
      </c>
      <c r="T8" s="48"/>
      <c r="U8" s="48"/>
      <c r="V8" s="48"/>
    </row>
    <row r="9" spans="1:79">
      <c r="A9" s="56"/>
      <c r="B9" s="57"/>
      <c r="C9" s="57"/>
      <c r="D9" s="57"/>
      <c r="E9" s="50"/>
      <c r="F9" s="57"/>
      <c r="G9" s="57"/>
      <c r="H9" s="57"/>
      <c r="I9" s="54"/>
      <c r="J9" s="57"/>
      <c r="K9" s="57"/>
      <c r="L9" s="54"/>
      <c r="M9" s="53"/>
      <c r="N9" s="53"/>
      <c r="O9" s="50"/>
      <c r="P9" s="51"/>
      <c r="Q9" s="52">
        <v>8</v>
      </c>
      <c r="R9" s="52" t="s">
        <v>171</v>
      </c>
      <c r="S9" s="52" t="s">
        <v>135</v>
      </c>
      <c r="T9" s="48"/>
      <c r="U9" s="48"/>
      <c r="V9" s="48"/>
    </row>
    <row r="10" spans="1:79">
      <c r="A10" s="59"/>
      <c r="B10" s="58"/>
      <c r="C10" s="58"/>
      <c r="D10" s="58"/>
      <c r="E10" s="50"/>
      <c r="F10" s="53"/>
      <c r="G10" s="50"/>
      <c r="H10" s="50"/>
      <c r="I10" s="50"/>
      <c r="J10" s="50"/>
      <c r="K10" s="50"/>
      <c r="L10" s="50"/>
      <c r="M10" s="50"/>
      <c r="N10" s="53"/>
      <c r="O10" s="50"/>
      <c r="P10" s="51"/>
      <c r="Q10" s="52">
        <v>9</v>
      </c>
      <c r="R10" s="52" t="s">
        <v>172</v>
      </c>
      <c r="S10" s="52" t="s">
        <v>136</v>
      </c>
      <c r="T10" s="48"/>
      <c r="U10" s="48"/>
      <c r="V10" s="48"/>
    </row>
    <row r="11" spans="1:79" ht="23">
      <c r="A11" s="107" t="s">
        <v>173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3"/>
      <c r="O11" s="50"/>
      <c r="P11" s="51"/>
      <c r="Q11" s="88">
        <v>0</v>
      </c>
      <c r="R11" s="88" t="s">
        <v>174</v>
      </c>
      <c r="S11" s="88" t="s">
        <v>137</v>
      </c>
      <c r="T11" s="48"/>
      <c r="U11" s="48"/>
      <c r="V11" s="48"/>
    </row>
    <row r="12" spans="1:79">
      <c r="A12" s="61" t="s">
        <v>175</v>
      </c>
      <c r="B12" s="62"/>
      <c r="C12" s="62"/>
      <c r="D12" s="62"/>
      <c r="E12" s="62"/>
      <c r="F12" s="62"/>
      <c r="G12" s="62"/>
      <c r="H12" s="62"/>
      <c r="I12" s="62"/>
      <c r="J12" s="62"/>
      <c r="K12" s="50"/>
      <c r="L12" s="50"/>
      <c r="M12" s="50"/>
      <c r="N12" s="53"/>
      <c r="O12" s="50"/>
      <c r="P12" s="51"/>
      <c r="Q12" s="52" t="s">
        <v>176</v>
      </c>
      <c r="R12" s="52" t="s">
        <v>177</v>
      </c>
      <c r="S12" s="52" t="s">
        <v>178</v>
      </c>
      <c r="T12" s="48"/>
      <c r="U12" s="48"/>
      <c r="V12" s="48"/>
    </row>
    <row r="13" spans="1:79">
      <c r="A13" s="197" t="s">
        <v>179</v>
      </c>
      <c r="B13" s="198"/>
      <c r="C13" s="198"/>
      <c r="D13" s="198"/>
      <c r="E13" s="198" t="s">
        <v>180</v>
      </c>
      <c r="F13" s="198"/>
      <c r="G13" s="198"/>
      <c r="H13" s="198"/>
      <c r="I13" s="198" t="s">
        <v>181</v>
      </c>
      <c r="J13" s="198"/>
      <c r="K13" s="198"/>
      <c r="L13" s="198"/>
      <c r="M13" s="198" t="s">
        <v>182</v>
      </c>
      <c r="N13" s="198"/>
      <c r="O13" s="198"/>
      <c r="P13" s="199"/>
      <c r="Q13" s="52" t="s">
        <v>183</v>
      </c>
      <c r="R13" s="52" t="s">
        <v>184</v>
      </c>
      <c r="S13" s="52" t="s">
        <v>185</v>
      </c>
      <c r="T13" s="48"/>
      <c r="U13" s="48"/>
      <c r="V13" s="48"/>
    </row>
    <row r="14" spans="1:79" s="66" customFormat="1">
      <c r="A14" s="63" t="s">
        <v>186</v>
      </c>
      <c r="B14" s="64"/>
      <c r="C14" s="64"/>
      <c r="D14" s="64"/>
      <c r="E14" s="64" t="s">
        <v>187</v>
      </c>
      <c r="F14" s="64"/>
      <c r="G14" s="64"/>
      <c r="H14" s="64"/>
      <c r="I14" s="64" t="s">
        <v>188</v>
      </c>
      <c r="J14" s="64"/>
      <c r="K14" s="64"/>
      <c r="L14" s="64"/>
      <c r="M14" s="64" t="s">
        <v>189</v>
      </c>
      <c r="N14" s="64"/>
      <c r="O14" s="64"/>
      <c r="P14" s="65"/>
      <c r="Q14" s="52" t="s">
        <v>190</v>
      </c>
      <c r="R14" s="52" t="s">
        <v>191</v>
      </c>
      <c r="S14" s="52" t="s">
        <v>192</v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</row>
    <row r="15" spans="1:79">
      <c r="A15" s="67">
        <v>0</v>
      </c>
      <c r="B15" s="126"/>
      <c r="C15" s="68">
        <v>10</v>
      </c>
      <c r="D15" s="126"/>
      <c r="E15" s="68">
        <v>25</v>
      </c>
      <c r="F15" s="126"/>
      <c r="G15" s="68">
        <v>35</v>
      </c>
      <c r="H15" s="126"/>
      <c r="I15" s="68">
        <v>50</v>
      </c>
      <c r="J15" s="126"/>
      <c r="K15" s="68">
        <v>60</v>
      </c>
      <c r="L15" s="126"/>
      <c r="M15" s="68">
        <v>75</v>
      </c>
      <c r="N15" s="126"/>
      <c r="O15" s="68">
        <v>85</v>
      </c>
      <c r="P15" s="127"/>
      <c r="Q15" s="52">
        <v>91</v>
      </c>
      <c r="R15" s="52" t="s">
        <v>193</v>
      </c>
      <c r="S15" s="52" t="s">
        <v>194</v>
      </c>
      <c r="T15" s="48"/>
      <c r="U15" s="48"/>
      <c r="V15" s="48"/>
    </row>
    <row r="16" spans="1:79">
      <c r="A16" s="67">
        <v>0.5</v>
      </c>
      <c r="B16" s="126"/>
      <c r="C16" s="68">
        <v>10.5</v>
      </c>
      <c r="D16" s="126"/>
      <c r="E16" s="68">
        <v>25.5</v>
      </c>
      <c r="F16" s="126"/>
      <c r="G16" s="68">
        <v>35.5</v>
      </c>
      <c r="H16" s="126"/>
      <c r="I16" s="68">
        <v>50.5</v>
      </c>
      <c r="J16" s="126"/>
      <c r="K16" s="68">
        <v>60.5</v>
      </c>
      <c r="L16" s="126"/>
      <c r="M16" s="68">
        <v>75.5</v>
      </c>
      <c r="N16" s="126"/>
      <c r="O16" s="68">
        <v>85.5</v>
      </c>
      <c r="P16" s="127"/>
      <c r="Q16" s="52">
        <v>92</v>
      </c>
      <c r="R16" s="52" t="s">
        <v>195</v>
      </c>
      <c r="S16" s="52" t="s">
        <v>196</v>
      </c>
      <c r="T16" s="48"/>
      <c r="U16" s="48"/>
      <c r="V16" s="48"/>
    </row>
    <row r="17" spans="1:22">
      <c r="A17" s="67">
        <v>1</v>
      </c>
      <c r="B17" s="126"/>
      <c r="C17" s="68">
        <v>11</v>
      </c>
      <c r="D17" s="126"/>
      <c r="E17" s="68">
        <v>26</v>
      </c>
      <c r="F17" s="126"/>
      <c r="G17" s="68">
        <v>36</v>
      </c>
      <c r="H17" s="126"/>
      <c r="I17" s="68">
        <v>51</v>
      </c>
      <c r="J17" s="126"/>
      <c r="K17" s="68">
        <v>61</v>
      </c>
      <c r="L17" s="126"/>
      <c r="M17" s="68">
        <v>76</v>
      </c>
      <c r="N17" s="126"/>
      <c r="O17" s="68">
        <v>86</v>
      </c>
      <c r="P17" s="127"/>
      <c r="Q17" s="69">
        <v>93</v>
      </c>
      <c r="R17" s="69" t="s">
        <v>197</v>
      </c>
      <c r="S17" s="69" t="s">
        <v>198</v>
      </c>
      <c r="T17" s="48"/>
      <c r="U17" s="48"/>
      <c r="V17" s="48"/>
    </row>
    <row r="18" spans="1:22">
      <c r="A18" s="67">
        <v>1.5</v>
      </c>
      <c r="B18" s="126"/>
      <c r="C18" s="68">
        <v>11.5</v>
      </c>
      <c r="D18" s="126"/>
      <c r="E18" s="68">
        <v>26.5</v>
      </c>
      <c r="F18" s="126"/>
      <c r="G18" s="68">
        <v>36.5</v>
      </c>
      <c r="H18" s="126"/>
      <c r="I18" s="68">
        <v>51.5</v>
      </c>
      <c r="J18" s="126"/>
      <c r="K18" s="68">
        <v>61.5</v>
      </c>
      <c r="L18" s="126"/>
      <c r="M18" s="68">
        <v>76.5</v>
      </c>
      <c r="N18" s="126"/>
      <c r="O18" s="68">
        <v>86.5</v>
      </c>
      <c r="P18" s="127"/>
      <c r="Q18" s="52">
        <v>94</v>
      </c>
      <c r="R18" s="52" t="s">
        <v>199</v>
      </c>
      <c r="S18" s="52" t="s">
        <v>200</v>
      </c>
      <c r="T18" s="48"/>
      <c r="U18" s="48"/>
      <c r="V18" s="48"/>
    </row>
    <row r="19" spans="1:22" ht="19" thickBot="1">
      <c r="A19" s="132">
        <v>2</v>
      </c>
      <c r="B19" s="133"/>
      <c r="C19" s="134">
        <v>12</v>
      </c>
      <c r="D19" s="133"/>
      <c r="E19" s="134">
        <v>27</v>
      </c>
      <c r="F19" s="133"/>
      <c r="G19" s="134">
        <v>37</v>
      </c>
      <c r="H19" s="133"/>
      <c r="I19" s="134">
        <v>52</v>
      </c>
      <c r="J19" s="133"/>
      <c r="K19" s="134">
        <v>62</v>
      </c>
      <c r="L19" s="133"/>
      <c r="M19" s="134">
        <v>77</v>
      </c>
      <c r="N19" s="133"/>
      <c r="O19" s="134">
        <v>87</v>
      </c>
      <c r="P19" s="135"/>
      <c r="Q19" s="69">
        <v>95</v>
      </c>
      <c r="R19" s="69" t="s">
        <v>201</v>
      </c>
      <c r="S19" s="69" t="s">
        <v>202</v>
      </c>
      <c r="T19" s="48"/>
      <c r="U19" s="48"/>
      <c r="V19" s="48"/>
    </row>
    <row r="20" spans="1:22">
      <c r="A20" s="128">
        <v>2.5</v>
      </c>
      <c r="B20" s="129"/>
      <c r="C20" s="130">
        <v>12.5</v>
      </c>
      <c r="D20" s="129"/>
      <c r="E20" s="130">
        <v>27.5</v>
      </c>
      <c r="F20" s="129"/>
      <c r="G20" s="130">
        <v>37.5</v>
      </c>
      <c r="H20" s="129"/>
      <c r="I20" s="130">
        <v>52.5</v>
      </c>
      <c r="J20" s="129"/>
      <c r="K20" s="130">
        <v>62.5</v>
      </c>
      <c r="L20" s="129"/>
      <c r="M20" s="130">
        <v>77.5</v>
      </c>
      <c r="N20" s="129"/>
      <c r="O20" s="130">
        <v>87.5</v>
      </c>
      <c r="P20" s="131"/>
      <c r="Q20" s="52">
        <v>96</v>
      </c>
      <c r="R20" s="52" t="s">
        <v>203</v>
      </c>
      <c r="S20" s="52" t="s">
        <v>204</v>
      </c>
      <c r="T20" s="48"/>
      <c r="U20" s="48"/>
      <c r="V20" s="48"/>
    </row>
    <row r="21" spans="1:22">
      <c r="A21" s="67">
        <v>3</v>
      </c>
      <c r="B21" s="126"/>
      <c r="C21" s="68">
        <v>13</v>
      </c>
      <c r="D21" s="126"/>
      <c r="E21" s="68">
        <v>28</v>
      </c>
      <c r="F21" s="126"/>
      <c r="G21" s="68">
        <v>38</v>
      </c>
      <c r="H21" s="126"/>
      <c r="I21" s="68">
        <v>53</v>
      </c>
      <c r="J21" s="126"/>
      <c r="K21" s="68">
        <v>63</v>
      </c>
      <c r="L21" s="126"/>
      <c r="M21" s="68">
        <v>78</v>
      </c>
      <c r="N21" s="126"/>
      <c r="O21" s="68">
        <v>88</v>
      </c>
      <c r="P21" s="127"/>
      <c r="Q21" s="52">
        <v>97</v>
      </c>
      <c r="R21" s="52" t="s">
        <v>205</v>
      </c>
      <c r="S21" s="52" t="s">
        <v>206</v>
      </c>
      <c r="T21" s="48"/>
      <c r="U21" s="48"/>
      <c r="V21" s="48"/>
    </row>
    <row r="22" spans="1:22">
      <c r="A22" s="67">
        <v>3.5</v>
      </c>
      <c r="B22" s="126"/>
      <c r="C22" s="68">
        <v>13.5</v>
      </c>
      <c r="D22" s="126"/>
      <c r="E22" s="68">
        <v>28.5</v>
      </c>
      <c r="F22" s="126"/>
      <c r="G22" s="68">
        <v>38.5</v>
      </c>
      <c r="H22" s="126"/>
      <c r="I22" s="68">
        <v>53.5</v>
      </c>
      <c r="J22" s="126"/>
      <c r="K22" s="68">
        <v>63.5</v>
      </c>
      <c r="L22" s="126"/>
      <c r="M22" s="68">
        <v>78.5</v>
      </c>
      <c r="N22" s="126"/>
      <c r="O22" s="68">
        <v>88.5</v>
      </c>
      <c r="P22" s="127"/>
      <c r="Q22" s="52">
        <v>98</v>
      </c>
      <c r="R22" s="52" t="s">
        <v>207</v>
      </c>
      <c r="S22" s="52" t="s">
        <v>208</v>
      </c>
      <c r="T22" s="48"/>
      <c r="U22" s="48"/>
      <c r="V22" s="48"/>
    </row>
    <row r="23" spans="1:22">
      <c r="A23" s="67">
        <v>4</v>
      </c>
      <c r="B23" s="126"/>
      <c r="C23" s="68">
        <v>14</v>
      </c>
      <c r="D23" s="126"/>
      <c r="E23" s="68">
        <v>29</v>
      </c>
      <c r="F23" s="126"/>
      <c r="G23" s="68">
        <v>39</v>
      </c>
      <c r="H23" s="126"/>
      <c r="I23" s="68">
        <v>54</v>
      </c>
      <c r="J23" s="126"/>
      <c r="K23" s="68">
        <v>64</v>
      </c>
      <c r="L23" s="126"/>
      <c r="M23" s="68">
        <v>79</v>
      </c>
      <c r="N23" s="126"/>
      <c r="O23" s="68">
        <v>89</v>
      </c>
      <c r="P23" s="127"/>
      <c r="Q23" s="48"/>
      <c r="R23" s="48"/>
      <c r="S23" s="48"/>
      <c r="T23" s="48"/>
      <c r="U23" s="48"/>
      <c r="V23" s="48"/>
    </row>
    <row r="24" spans="1:22" ht="19" thickBot="1">
      <c r="A24" s="132">
        <v>4.5</v>
      </c>
      <c r="B24" s="133"/>
      <c r="C24" s="134">
        <v>14.5</v>
      </c>
      <c r="D24" s="133"/>
      <c r="E24" s="134">
        <v>29.5</v>
      </c>
      <c r="F24" s="133"/>
      <c r="G24" s="134">
        <v>39.5</v>
      </c>
      <c r="H24" s="133"/>
      <c r="I24" s="134">
        <v>54.5</v>
      </c>
      <c r="J24" s="133"/>
      <c r="K24" s="134">
        <v>64.5</v>
      </c>
      <c r="L24" s="133"/>
      <c r="M24" s="134">
        <v>79.5</v>
      </c>
      <c r="N24" s="133"/>
      <c r="O24" s="134">
        <v>89.5</v>
      </c>
      <c r="P24" s="135"/>
      <c r="Q24" s="48"/>
      <c r="R24" s="48"/>
      <c r="S24" s="48"/>
      <c r="T24" s="48"/>
      <c r="U24" s="48"/>
      <c r="V24" s="48"/>
    </row>
    <row r="25" spans="1:22">
      <c r="A25" s="128">
        <v>5</v>
      </c>
      <c r="B25" s="129"/>
      <c r="C25" s="130">
        <v>15</v>
      </c>
      <c r="D25" s="129"/>
      <c r="E25" s="130">
        <v>30</v>
      </c>
      <c r="F25" s="129"/>
      <c r="G25" s="130">
        <v>40</v>
      </c>
      <c r="H25" s="129"/>
      <c r="I25" s="130">
        <v>55</v>
      </c>
      <c r="J25" s="129"/>
      <c r="K25" s="130">
        <v>65</v>
      </c>
      <c r="L25" s="129"/>
      <c r="M25" s="130">
        <v>80</v>
      </c>
      <c r="N25" s="129"/>
      <c r="O25" s="130">
        <v>90</v>
      </c>
      <c r="P25" s="131"/>
      <c r="Q25" s="48"/>
      <c r="R25" s="48"/>
      <c r="S25" s="48"/>
      <c r="T25" s="48"/>
      <c r="U25" s="48"/>
      <c r="V25" s="48"/>
    </row>
    <row r="26" spans="1:22">
      <c r="A26" s="67">
        <v>5.5</v>
      </c>
      <c r="B26" s="126"/>
      <c r="C26" s="68">
        <v>15.5</v>
      </c>
      <c r="D26" s="126"/>
      <c r="E26" s="68">
        <v>30.5</v>
      </c>
      <c r="F26" s="126"/>
      <c r="G26" s="68">
        <v>40.5</v>
      </c>
      <c r="H26" s="126"/>
      <c r="I26" s="68">
        <v>55.5</v>
      </c>
      <c r="J26" s="126"/>
      <c r="K26" s="68">
        <v>65.5</v>
      </c>
      <c r="L26" s="126"/>
      <c r="M26" s="68">
        <v>80.5</v>
      </c>
      <c r="N26" s="126"/>
      <c r="O26" s="68">
        <v>90.5</v>
      </c>
      <c r="P26" s="127"/>
      <c r="Q26" s="48"/>
      <c r="R26" s="48"/>
      <c r="S26" s="48"/>
      <c r="T26" s="48"/>
      <c r="U26" s="48"/>
      <c r="V26" s="48"/>
    </row>
    <row r="27" spans="1:22">
      <c r="A27" s="67">
        <v>6</v>
      </c>
      <c r="B27" s="126"/>
      <c r="C27" s="68">
        <v>16</v>
      </c>
      <c r="D27" s="126"/>
      <c r="E27" s="68">
        <v>31</v>
      </c>
      <c r="F27" s="126"/>
      <c r="G27" s="68">
        <v>41</v>
      </c>
      <c r="H27" s="126"/>
      <c r="I27" s="68">
        <v>56</v>
      </c>
      <c r="J27" s="126"/>
      <c r="K27" s="68">
        <v>66</v>
      </c>
      <c r="L27" s="126"/>
      <c r="M27" s="68">
        <v>81</v>
      </c>
      <c r="N27" s="126"/>
      <c r="O27" s="68">
        <v>91</v>
      </c>
      <c r="P27" s="127"/>
      <c r="Q27" s="48"/>
      <c r="R27" s="48"/>
      <c r="S27" s="48"/>
      <c r="T27" s="48"/>
      <c r="U27" s="48"/>
      <c r="V27" s="48"/>
    </row>
    <row r="28" spans="1:22">
      <c r="A28" s="67">
        <v>6.5</v>
      </c>
      <c r="B28" s="126"/>
      <c r="C28" s="68">
        <v>16.5</v>
      </c>
      <c r="D28" s="126"/>
      <c r="E28" s="68">
        <v>31.5</v>
      </c>
      <c r="F28" s="126"/>
      <c r="G28" s="68">
        <v>41.5</v>
      </c>
      <c r="H28" s="126"/>
      <c r="I28" s="68">
        <v>56.5</v>
      </c>
      <c r="J28" s="126"/>
      <c r="K28" s="68">
        <v>66.5</v>
      </c>
      <c r="L28" s="126"/>
      <c r="M28" s="68">
        <v>81.5</v>
      </c>
      <c r="N28" s="126"/>
      <c r="O28" s="68">
        <v>91.5</v>
      </c>
      <c r="P28" s="127"/>
      <c r="Q28" s="48"/>
      <c r="R28" s="48"/>
      <c r="S28" s="48"/>
      <c r="T28" s="48"/>
      <c r="U28" s="48"/>
      <c r="V28" s="48"/>
    </row>
    <row r="29" spans="1:22" ht="19" thickBot="1">
      <c r="A29" s="132">
        <v>7</v>
      </c>
      <c r="B29" s="133"/>
      <c r="C29" s="134">
        <v>17</v>
      </c>
      <c r="D29" s="133"/>
      <c r="E29" s="134">
        <v>32</v>
      </c>
      <c r="F29" s="133"/>
      <c r="G29" s="134">
        <v>42</v>
      </c>
      <c r="H29" s="133"/>
      <c r="I29" s="134">
        <v>57</v>
      </c>
      <c r="J29" s="133"/>
      <c r="K29" s="134">
        <v>67</v>
      </c>
      <c r="L29" s="133"/>
      <c r="M29" s="134">
        <v>82</v>
      </c>
      <c r="N29" s="133"/>
      <c r="O29" s="134">
        <v>92</v>
      </c>
      <c r="P29" s="135"/>
      <c r="Q29" s="48"/>
      <c r="R29" s="48"/>
      <c r="S29" s="48"/>
      <c r="T29" s="48"/>
      <c r="U29" s="48"/>
      <c r="V29" s="48"/>
    </row>
    <row r="30" spans="1:22">
      <c r="A30" s="128">
        <v>7.5</v>
      </c>
      <c r="B30" s="129"/>
      <c r="C30" s="130">
        <v>17.5</v>
      </c>
      <c r="D30" s="129"/>
      <c r="E30" s="130">
        <v>32.5</v>
      </c>
      <c r="F30" s="129"/>
      <c r="G30" s="130">
        <v>42.5</v>
      </c>
      <c r="H30" s="129"/>
      <c r="I30" s="130">
        <v>57.5</v>
      </c>
      <c r="J30" s="129"/>
      <c r="K30" s="130">
        <v>67.5</v>
      </c>
      <c r="L30" s="129"/>
      <c r="M30" s="130">
        <v>82.5</v>
      </c>
      <c r="N30" s="129"/>
      <c r="O30" s="130">
        <v>92.5</v>
      </c>
      <c r="P30" s="131"/>
      <c r="Q30" s="48"/>
      <c r="R30" s="48"/>
      <c r="S30" s="48"/>
      <c r="T30" s="48"/>
      <c r="U30" s="48"/>
      <c r="V30" s="48"/>
    </row>
    <row r="31" spans="1:22">
      <c r="A31" s="67">
        <v>8</v>
      </c>
      <c r="B31" s="126"/>
      <c r="C31" s="68">
        <v>18</v>
      </c>
      <c r="D31" s="126"/>
      <c r="E31" s="68">
        <v>33</v>
      </c>
      <c r="F31" s="126"/>
      <c r="G31" s="68">
        <v>43</v>
      </c>
      <c r="H31" s="126"/>
      <c r="I31" s="68">
        <v>58</v>
      </c>
      <c r="J31" s="126"/>
      <c r="K31" s="68">
        <v>68</v>
      </c>
      <c r="L31" s="126"/>
      <c r="M31" s="68">
        <v>83</v>
      </c>
      <c r="N31" s="126"/>
      <c r="O31" s="68">
        <v>93</v>
      </c>
      <c r="P31" s="127"/>
      <c r="Q31" s="48"/>
      <c r="R31" s="48"/>
      <c r="S31" s="48"/>
      <c r="T31" s="48"/>
      <c r="U31" s="48"/>
      <c r="V31" s="48"/>
    </row>
    <row r="32" spans="1:22">
      <c r="A32" s="67">
        <v>8.5</v>
      </c>
      <c r="B32" s="126"/>
      <c r="C32" s="68">
        <v>18.5</v>
      </c>
      <c r="D32" s="126"/>
      <c r="E32" s="68">
        <v>33.5</v>
      </c>
      <c r="F32" s="126"/>
      <c r="G32" s="68">
        <v>43.5</v>
      </c>
      <c r="H32" s="126"/>
      <c r="I32" s="68">
        <v>58.5</v>
      </c>
      <c r="J32" s="126"/>
      <c r="K32" s="68">
        <v>68.5</v>
      </c>
      <c r="L32" s="126"/>
      <c r="M32" s="68">
        <v>83.5</v>
      </c>
      <c r="N32" s="126"/>
      <c r="O32" s="68">
        <v>93.5</v>
      </c>
      <c r="P32" s="127"/>
      <c r="Q32" s="48"/>
      <c r="R32" s="48"/>
      <c r="S32" s="48"/>
      <c r="T32" s="48"/>
      <c r="U32" s="48"/>
      <c r="V32" s="48"/>
    </row>
    <row r="33" spans="1:44">
      <c r="A33" s="67">
        <v>9</v>
      </c>
      <c r="B33" s="126"/>
      <c r="C33" s="68">
        <v>19</v>
      </c>
      <c r="D33" s="126"/>
      <c r="E33" s="68">
        <v>34</v>
      </c>
      <c r="F33" s="126"/>
      <c r="G33" s="68">
        <v>44</v>
      </c>
      <c r="H33" s="126"/>
      <c r="I33" s="68">
        <v>59</v>
      </c>
      <c r="J33" s="126"/>
      <c r="K33" s="68">
        <v>69</v>
      </c>
      <c r="L33" s="126"/>
      <c r="M33" s="68">
        <v>84</v>
      </c>
      <c r="N33" s="126"/>
      <c r="O33" s="68">
        <v>94</v>
      </c>
      <c r="P33" s="127"/>
      <c r="Q33" s="48"/>
      <c r="R33" s="48"/>
      <c r="S33" s="48"/>
      <c r="T33" s="48"/>
      <c r="U33" s="48"/>
      <c r="V33" s="48"/>
    </row>
    <row r="34" spans="1:44" ht="19" thickBot="1">
      <c r="A34" s="132">
        <v>9.5</v>
      </c>
      <c r="B34" s="133"/>
      <c r="C34" s="134">
        <v>19.5</v>
      </c>
      <c r="D34" s="133"/>
      <c r="E34" s="134">
        <v>34.5</v>
      </c>
      <c r="F34" s="133"/>
      <c r="G34" s="134">
        <v>44.5</v>
      </c>
      <c r="H34" s="133"/>
      <c r="I34" s="134">
        <v>59.5</v>
      </c>
      <c r="J34" s="133"/>
      <c r="K34" s="134">
        <v>69.5</v>
      </c>
      <c r="L34" s="133"/>
      <c r="M34" s="134">
        <v>84.5</v>
      </c>
      <c r="N34" s="133"/>
      <c r="O34" s="134">
        <v>94.5</v>
      </c>
      <c r="P34" s="135"/>
      <c r="Q34" s="48"/>
      <c r="R34" s="48"/>
      <c r="S34" s="48"/>
      <c r="T34" s="48"/>
      <c r="U34" s="48"/>
      <c r="V34" s="48"/>
    </row>
    <row r="35" spans="1:44">
      <c r="A35" s="165" t="s">
        <v>209</v>
      </c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7"/>
      <c r="Q35" s="48"/>
      <c r="R35" s="48"/>
      <c r="S35" s="48"/>
      <c r="T35" s="48"/>
      <c r="U35" s="48"/>
      <c r="V35" s="48"/>
    </row>
    <row r="36" spans="1:44">
      <c r="A36" s="220"/>
      <c r="B36" s="221"/>
      <c r="C36" s="113" t="s">
        <v>210</v>
      </c>
      <c r="D36" s="113" t="s">
        <v>211</v>
      </c>
      <c r="E36" s="113" t="s">
        <v>212</v>
      </c>
      <c r="F36" s="113" t="s">
        <v>213</v>
      </c>
      <c r="G36" s="223" t="s">
        <v>214</v>
      </c>
      <c r="H36" s="223"/>
      <c r="I36" s="223" t="s">
        <v>215</v>
      </c>
      <c r="J36" s="223"/>
      <c r="K36" s="223" t="s">
        <v>216</v>
      </c>
      <c r="L36" s="223"/>
      <c r="M36" s="54"/>
      <c r="N36" s="54"/>
      <c r="O36" s="54"/>
      <c r="P36" s="55"/>
      <c r="Q36" s="48"/>
      <c r="R36" s="48"/>
      <c r="S36" s="48"/>
      <c r="T36" s="48"/>
      <c r="U36" s="48"/>
      <c r="V36" s="48"/>
    </row>
    <row r="37" spans="1:44" ht="25" customHeight="1">
      <c r="A37" s="224" t="s">
        <v>217</v>
      </c>
      <c r="B37" s="225"/>
      <c r="C37" s="169"/>
      <c r="D37" s="169"/>
      <c r="E37" s="169"/>
      <c r="F37" s="169"/>
      <c r="G37" s="222">
        <f>SUM(C37,D37,E37,F37)</f>
      </c>
      <c r="H37" s="222"/>
      <c r="I37" s="222">
        <f>AVERAGE(C37,D37,E37,F37)</f>
      </c>
      <c r="J37" s="222"/>
      <c r="K37" s="222">
        <f>_xlfn.STDEV.S(C37,D37,E37,F37)</f>
      </c>
      <c r="L37" s="222"/>
      <c r="M37" s="164"/>
      <c r="N37" s="164"/>
      <c r="O37" s="54"/>
      <c r="P37" s="168"/>
      <c r="Q37" s="48"/>
      <c r="R37" s="48"/>
      <c r="S37" s="48"/>
      <c r="T37" s="48"/>
      <c r="U37" s="48"/>
      <c r="V37" s="48"/>
    </row>
    <row r="38" spans="1:44" ht="25" customHeight="1">
      <c r="A38" s="224" t="s">
        <v>218</v>
      </c>
      <c r="B38" s="225"/>
      <c r="C38" s="169"/>
      <c r="D38" s="169"/>
      <c r="E38" s="169"/>
      <c r="F38" s="169"/>
      <c r="G38" s="222">
        <f>SUM(C38,D38,E38,F38)</f>
      </c>
      <c r="H38" s="222"/>
      <c r="I38" s="222">
        <f>AVERAGE(C38,D38,E38,F38)</f>
      </c>
      <c r="J38" s="222"/>
      <c r="K38" s="222">
        <f>_xlfn.STDEV.S(C38,D38,E38,F38)</f>
      </c>
      <c r="L38" s="222"/>
      <c r="M38" s="164"/>
      <c r="N38" s="164"/>
      <c r="O38" s="54"/>
      <c r="P38" s="168"/>
      <c r="Q38" s="48"/>
      <c r="R38" s="48"/>
      <c r="S38" s="48"/>
      <c r="T38" s="48"/>
      <c r="U38" s="48"/>
      <c r="V38" s="48"/>
    </row>
    <row r="39" spans="1:44" ht="34" customHeight="1">
      <c r="A39" s="226" t="s">
        <v>219</v>
      </c>
      <c r="B39" s="227"/>
      <c r="C39" s="169"/>
      <c r="D39" s="169"/>
      <c r="E39" s="169"/>
      <c r="F39" s="169"/>
      <c r="G39" s="222">
        <f>SUM(C39,D39,E39,F39)</f>
      </c>
      <c r="H39" s="222"/>
      <c r="I39" s="222">
        <f>AVERAGE(C39,D39,E39,F39)</f>
      </c>
      <c r="J39" s="222"/>
      <c r="K39" s="222">
        <f>_xlfn.STDEV.S(C39,D39,E39,F39)</f>
      </c>
      <c r="L39" s="222"/>
      <c r="M39" s="185"/>
      <c r="N39" s="185"/>
      <c r="O39" s="184"/>
      <c r="P39" s="186"/>
      <c r="Q39" s="154"/>
      <c r="R39" s="154"/>
      <c r="S39" s="154"/>
      <c r="T39" s="48"/>
      <c r="U39" s="48"/>
      <c r="V39" s="48"/>
    </row>
    <row r="40" spans="1:44">
      <c r="A40" s="136"/>
      <c r="B40" s="153"/>
      <c r="C40" s="155"/>
      <c r="D40" s="155"/>
      <c r="E40" s="153"/>
      <c r="F40" s="153"/>
      <c r="G40" s="155"/>
      <c r="H40" s="155"/>
      <c r="I40" s="153"/>
      <c r="J40" s="153"/>
      <c r="K40" s="155"/>
      <c r="L40" s="155"/>
      <c r="M40" s="153"/>
      <c r="N40" s="153"/>
      <c r="O40" s="155"/>
      <c r="P40" s="159"/>
      <c r="Q40" s="48"/>
      <c r="R40" s="48"/>
      <c r="S40" s="48"/>
      <c r="T40" s="48"/>
      <c r="U40" s="48"/>
      <c r="V40" s="48"/>
    </row>
    <row r="41" spans="1:44">
      <c r="A41" s="187" t="s">
        <v>220</v>
      </c>
      <c r="B41" s="188"/>
      <c r="C41" s="188"/>
      <c r="D41" s="188"/>
      <c r="E41" s="188"/>
      <c r="F41" s="188"/>
      <c r="G41" s="188"/>
      <c r="H41" s="188"/>
      <c r="I41" s="192"/>
      <c r="J41" s="192"/>
      <c r="K41" s="192"/>
      <c r="L41" s="192"/>
      <c r="M41" s="192"/>
      <c r="N41" s="192"/>
      <c r="O41" s="192"/>
      <c r="P41" s="193"/>
      <c r="Q41" s="48"/>
      <c r="R41" s="48"/>
      <c r="S41" s="48"/>
      <c r="T41" s="48"/>
      <c r="U41" s="48"/>
      <c r="V41" s="48"/>
    </row>
    <row r="42" spans="1:44">
      <c r="A42" s="187" t="s">
        <v>221</v>
      </c>
      <c r="B42" s="188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90"/>
      <c r="Q42" s="156" t="s">
        <v>222</v>
      </c>
      <c r="R42" s="69">
        <f>J73</f>
      </c>
      <c r="S42" s="48"/>
      <c r="T42" s="48"/>
      <c r="U42" s="48"/>
      <c r="V42" s="48"/>
    </row>
    <row r="43" spans="1:44" ht="17" customHeight="1">
      <c r="A43" s="191"/>
      <c r="B43" s="185"/>
      <c r="C43" s="184"/>
      <c r="D43" s="184"/>
      <c r="E43" s="185"/>
      <c r="F43" s="185"/>
      <c r="G43" s="184"/>
      <c r="H43" s="184"/>
      <c r="I43" s="185"/>
      <c r="J43" s="185"/>
      <c r="K43" s="184"/>
      <c r="L43" s="184"/>
      <c r="M43" s="185"/>
      <c r="N43" s="185"/>
      <c r="O43" s="184"/>
      <c r="P43" s="186"/>
      <c r="Q43" s="156" t="s">
        <v>223</v>
      </c>
      <c r="R43" s="69">
        <f>J74</f>
      </c>
      <c r="S43" s="48"/>
      <c r="T43" s="48"/>
      <c r="U43" s="48"/>
      <c r="V43" s="48"/>
    </row>
    <row r="44" spans="1:44" ht="16" customHeight="1">
      <c r="A44" s="70" t="s">
        <v>121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3"/>
      <c r="O44" s="50"/>
      <c r="P44" s="51"/>
      <c r="Q44" s="48"/>
      <c r="R44" s="48"/>
      <c r="S44" s="48"/>
      <c r="T44" s="48"/>
      <c r="U44" s="48"/>
      <c r="V44" s="48"/>
    </row>
    <row r="45" spans="1:44" s="73" customFormat="1" ht="19" thickBot="1">
      <c r="A45" s="160" t="s">
        <v>224</v>
      </c>
      <c r="B45" s="161"/>
      <c r="C45" s="161"/>
      <c r="D45" s="161"/>
      <c r="E45" s="161"/>
      <c r="F45" s="162"/>
      <c r="G45" s="161"/>
      <c r="H45" s="161"/>
      <c r="I45" s="161"/>
      <c r="J45" s="161"/>
      <c r="K45" s="161"/>
      <c r="L45" s="161"/>
      <c r="M45" s="161"/>
      <c r="N45" s="162"/>
      <c r="O45" s="161"/>
      <c r="P45" s="163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72"/>
      <c r="AM45" s="72"/>
      <c r="AN45" s="72"/>
      <c r="AO45" s="72"/>
      <c r="AP45" s="72"/>
      <c r="AQ45" s="72"/>
      <c r="AR45" s="72"/>
    </row>
    <row r="46" spans="1:44" ht="19" thickBot="1">
      <c r="A46" s="157" t="s">
        <v>225</v>
      </c>
      <c r="B46" s="78"/>
      <c r="C46" s="157" t="s">
        <v>226</v>
      </c>
      <c r="D46" s="78"/>
      <c r="E46" s="157" t="s">
        <v>227</v>
      </c>
      <c r="F46" s="78"/>
      <c r="G46" s="157" t="s">
        <v>228</v>
      </c>
      <c r="H46" s="78"/>
      <c r="I46" s="158" t="s">
        <v>229</v>
      </c>
      <c r="J46" s="78"/>
      <c r="K46" s="57"/>
      <c r="L46" s="157" t="s">
        <v>230</v>
      </c>
      <c r="M46" s="78"/>
      <c r="N46" s="158" t="s">
        <v>135</v>
      </c>
      <c r="O46" s="85"/>
      <c r="P46" s="51"/>
      <c r="Q46" s="48"/>
      <c r="R46" s="48"/>
      <c r="S46" s="48"/>
      <c r="T46" s="48"/>
      <c r="U46" s="48"/>
      <c r="V46" s="48"/>
    </row>
    <row r="47" spans="1:44">
      <c r="A47" s="60" t="s">
        <v>127</v>
      </c>
      <c r="B47" s="75" cm="1">
        <f t="array" ref="B47">COUNTIF(INDEX(seg_1,,,1), INDEX($Q$2:$Q$22, MATCH(A47, $S$2:$S$22, 0))) + COUNTIF(INDEX(seg_1,,,2), INDEX($Q$2:$Q$22, MATCH(A47, $S$2:$S$22, 0)))</f>
      </c>
      <c r="C47" s="60" t="s">
        <v>127</v>
      </c>
      <c r="D47" s="75" cm="1">
        <f t="array" ref="D47">COUNTIF(INDEX(seg_2,,,1), INDEX($Q$2:$Q$22, MATCH(A47, $S$2:$S$22, 0))) + COUNTIF(INDEX(seg_2,,,2), INDEX($Q$2:$Q$22, MATCH(A47, $S$2:$S$22, 0)))</f>
      </c>
      <c r="E47" s="60" t="s">
        <v>127</v>
      </c>
      <c r="F47" s="75" cm="1">
        <f t="array" ref="F47">COUNTIF(INDEX(seg_3,,,1), INDEX($Q$2:$Q$22, MATCH(A47, $S$2:$S$22, 0))) + COUNTIF(INDEX(seg_3,,,2), INDEX($Q$2:$Q$22, MATCH(A47, $S$2:$S$22, 0)))</f>
      </c>
      <c r="G47" s="60" t="s">
        <v>127</v>
      </c>
      <c r="H47" s="75" cm="1">
        <f t="array" ref="H47">COUNTIF(INDEX(seg_4,,,1), INDEX($Q$2:$Q$22, MATCH(A47, $S$2:$S$22, 0))) + COUNTIF(INDEX(seg_4,,,2), INDEX($Q$2:$Q$22, MATCH(A47, $S$2:$S$22, 0)))</f>
      </c>
      <c r="I47" s="50" t="s">
        <v>127</v>
      </c>
      <c r="J47" s="75">
        <f>SUM(B47,D47,F47,H47)</f>
      </c>
      <c r="K47" s="50"/>
      <c r="L47" s="60" t="s">
        <v>127</v>
      </c>
      <c r="M47" s="75">
        <f>AVERAGE(B47,D47,F47,H47)</f>
      </c>
      <c r="N47" s="50" t="s">
        <v>127</v>
      </c>
      <c r="O47" s="75">
        <f>_xlfn.STDEV.S(B47,D47,F47,H47)</f>
      </c>
      <c r="P47" s="51"/>
      <c r="Q47" s="48"/>
      <c r="R47" s="48"/>
      <c r="S47" s="48"/>
      <c r="T47" s="48"/>
      <c r="U47" s="48"/>
      <c r="V47" s="48"/>
    </row>
    <row r="48" spans="1:44">
      <c r="A48" s="76" t="s">
        <v>128</v>
      </c>
      <c r="B48" s="75" cm="1">
        <f t="array" ref="B48">COUNTIF(INDEX(seg_1,,,1), INDEX($Q$2:$Q$22, MATCH(A48, $S$2:$S$22, 0))) + COUNTIF(INDEX(seg_1,,,2), INDEX($Q$2:$Q$22, MATCH(A48, $S$2:$S$22, 0)))</f>
      </c>
      <c r="C48" s="76" t="s">
        <v>144</v>
      </c>
      <c r="D48" s="75" cm="1">
        <f t="array" ref="D48">COUNTIF(INDEX(seg_2,,,1), INDEX($Q$2:$Q$22, MATCH(A48, $S$2:$S$22, 0))) + COUNTIF(INDEX(seg_2,,,2), INDEX($Q$2:$Q$22, MATCH(A48, $S$2:$S$22, 0)))</f>
      </c>
      <c r="E48" s="76" t="s">
        <v>128</v>
      </c>
      <c r="F48" s="75" cm="1">
        <f t="array" ref="F48">COUNTIF(INDEX(seg_3,,,1), INDEX($Q$2:$Q$22, MATCH(A48, $S$2:$S$22, 0))) + COUNTIF(INDEX(seg_3,,,2), INDEX($Q$2:$Q$22, MATCH(A48, $S$2:$S$22, 0)))</f>
      </c>
      <c r="G48" s="76" t="s">
        <v>128</v>
      </c>
      <c r="H48" s="75" cm="1">
        <f t="array" ref="H48">COUNTIF(INDEX(seg_4,,,1), INDEX($Q$2:$Q$22, MATCH(A48, $S$2:$S$22, 0))) + COUNTIF(INDEX(seg_4,,,2), INDEX($Q$2:$Q$22, MATCH(A48, $S$2:$S$22, 0)))</f>
      </c>
      <c r="I48" s="53" t="s">
        <v>128</v>
      </c>
      <c r="J48" s="75">
        <f>SUM(B48,D48,F48,H48)</f>
      </c>
      <c r="K48" s="53"/>
      <c r="L48" s="76" t="s">
        <v>128</v>
      </c>
      <c r="M48" s="75">
        <f>AVERAGE(B48,D48,F48,H48)</f>
      </c>
      <c r="N48" s="53" t="s">
        <v>128</v>
      </c>
      <c r="O48" s="75">
        <f>_xlfn.STDEV.S(B48,D48,F48,H48)</f>
      </c>
      <c r="P48" s="51"/>
      <c r="Q48" s="48"/>
      <c r="R48" s="48"/>
      <c r="S48" s="48"/>
      <c r="T48" s="48"/>
      <c r="U48" s="48"/>
      <c r="V48" s="48"/>
    </row>
    <row r="49" spans="1:22">
      <c r="A49" s="76" t="s">
        <v>130</v>
      </c>
      <c r="B49" s="75" cm="1">
        <f t="array" ref="B49">COUNTIF(INDEX(seg_1,,,1), INDEX($Q$2:$Q$22, MATCH(A49, $S$2:$S$22, 0))) + COUNTIF(INDEX(seg_1,,,2), INDEX($Q$2:$Q$22, MATCH(A49, $S$2:$S$22, 0)))</f>
      </c>
      <c r="C49" s="76" t="s">
        <v>130</v>
      </c>
      <c r="D49" s="75" cm="1">
        <f t="array" ref="D49">COUNTIF(INDEX(seg_2,,,1), INDEX($Q$2:$Q$22, MATCH(A49, $S$2:$S$22, 0))) + COUNTIF(INDEX(seg_2,,,2), INDEX($Q$2:$Q$22, MATCH(A49, $S$2:$S$22, 0)))</f>
      </c>
      <c r="E49" s="76" t="s">
        <v>130</v>
      </c>
      <c r="F49" s="75" cm="1">
        <f t="array" ref="F49">COUNTIF(INDEX(seg_3,,,1), INDEX($Q$2:$Q$22, MATCH(A49, $S$2:$S$22, 0))) + COUNTIF(INDEX(seg_3,,,2), INDEX($Q$2:$Q$22, MATCH(A49, $S$2:$S$22, 0)))</f>
      </c>
      <c r="G49" s="76" t="s">
        <v>130</v>
      </c>
      <c r="H49" s="75" cm="1">
        <f t="array" ref="H49">COUNTIF(INDEX(seg_4,,,1), INDEX($Q$2:$Q$22, MATCH(A49, $S$2:$S$22, 0))) + COUNTIF(INDEX(seg_4,,,2), INDEX($Q$2:$Q$22, MATCH(A49, $S$2:$S$22, 0)))</f>
      </c>
      <c r="I49" s="53" t="s">
        <v>130</v>
      </c>
      <c r="J49" s="75">
        <f>SUM(B49,D49,F49,H49)</f>
      </c>
      <c r="K49" s="53"/>
      <c r="L49" s="76" t="s">
        <v>130</v>
      </c>
      <c r="M49" s="75">
        <f>AVERAGE(B49,D49,F49,H49)</f>
      </c>
      <c r="N49" s="53" t="s">
        <v>130</v>
      </c>
      <c r="O49" s="75">
        <f>_xlfn.STDEV.S(B49,D49,F49,H49)</f>
      </c>
      <c r="P49" s="51"/>
      <c r="Q49" s="48"/>
      <c r="R49" s="48"/>
      <c r="S49" s="48"/>
      <c r="T49" s="48"/>
      <c r="U49" s="48"/>
      <c r="V49" s="48"/>
    </row>
    <row r="50" spans="1:22">
      <c r="A50" s="60" t="s">
        <v>131</v>
      </c>
      <c r="B50" s="75" cm="1">
        <f t="array" ref="B50">COUNTIF(INDEX(seg_1,,,1), INDEX($Q$2:$Q$22, MATCH(A50, $S$2:$S$22, 0))) + COUNTIF(INDEX(seg_1,,,2), INDEX($Q$2:$Q$22, MATCH(A50, $S$2:$S$22, 0)))</f>
      </c>
      <c r="C50" s="60" t="s">
        <v>131</v>
      </c>
      <c r="D50" s="75" cm="1">
        <f t="array" ref="D50">COUNTIF(INDEX(seg_2,,,1), INDEX($Q$2:$Q$22, MATCH(A50, $S$2:$S$22, 0))) + COUNTIF(INDEX(seg_2,,,2), INDEX($Q$2:$Q$22, MATCH(A50, $S$2:$S$22, 0)))</f>
      </c>
      <c r="E50" s="60" t="s">
        <v>131</v>
      </c>
      <c r="F50" s="75" cm="1">
        <f t="array" ref="F50">COUNTIF(INDEX(seg_3,,,1), INDEX($Q$2:$Q$22, MATCH(A50, $S$2:$S$22, 0))) + COUNTIF(INDEX(seg_3,,,2), INDEX($Q$2:$Q$22, MATCH(A50, $S$2:$S$22, 0)))</f>
      </c>
      <c r="G50" s="60" t="s">
        <v>131</v>
      </c>
      <c r="H50" s="75" cm="1">
        <f t="array" ref="H50">COUNTIF(INDEX(seg_4,,,1), INDEX($Q$2:$Q$22, MATCH(A50, $S$2:$S$22, 0))) + COUNTIF(INDEX(seg_4,,,2), INDEX($Q$2:$Q$22, MATCH(A50, $S$2:$S$22, 0)))</f>
      </c>
      <c r="I50" s="50" t="s">
        <v>131</v>
      </c>
      <c r="J50" s="75">
        <f>SUM(B50,D50,F50,H50)</f>
      </c>
      <c r="K50" s="50"/>
      <c r="L50" s="60" t="s">
        <v>131</v>
      </c>
      <c r="M50" s="75">
        <f>AVERAGE(B50,D50,F50,H50)</f>
      </c>
      <c r="N50" s="50" t="s">
        <v>131</v>
      </c>
      <c r="O50" s="75">
        <f>_xlfn.STDEV.S(B50,D50,F50,H50)</f>
      </c>
      <c r="P50" s="51"/>
      <c r="Q50" s="48"/>
      <c r="R50" s="48"/>
      <c r="S50" s="48"/>
      <c r="T50" s="48"/>
      <c r="U50" s="48"/>
      <c r="V50" s="48"/>
    </row>
    <row r="51" spans="1:22">
      <c r="A51" s="60" t="s">
        <v>132</v>
      </c>
      <c r="B51" s="75" cm="1">
        <f t="array" ref="B51">COUNTIF(INDEX(seg_1,,,1), INDEX($Q$2:$Q$22, MATCH(A51, $S$2:$S$22, 0))) + COUNTIF(INDEX(seg_1,,,2), INDEX($Q$2:$Q$22, MATCH(A51, $S$2:$S$22, 0)))</f>
      </c>
      <c r="C51" s="60" t="s">
        <v>132</v>
      </c>
      <c r="D51" s="75" cm="1">
        <f t="array" ref="D51">COUNTIF(INDEX(seg_2,,,1), INDEX($Q$2:$Q$22, MATCH(A51, $S$2:$S$22, 0))) + COUNTIF(INDEX(seg_2,,,2), INDEX($Q$2:$Q$22, MATCH(A51, $S$2:$S$22, 0)))</f>
      </c>
      <c r="E51" s="60" t="s">
        <v>132</v>
      </c>
      <c r="F51" s="75" cm="1">
        <f t="array" ref="F51">COUNTIF(INDEX(seg_3,,,1), INDEX($Q$2:$Q$22, MATCH(A51, $S$2:$S$22, 0))) + COUNTIF(INDEX(seg_3,,,2), INDEX($Q$2:$Q$22, MATCH(A51, $S$2:$S$22, 0)))</f>
      </c>
      <c r="G51" s="60" t="s">
        <v>132</v>
      </c>
      <c r="H51" s="75" cm="1">
        <f t="array" ref="H51">COUNTIF(INDEX(seg_4,,,1), INDEX($Q$2:$Q$22, MATCH(A51, $S$2:$S$22, 0))) + COUNTIF(INDEX(seg_4,,,2), INDEX($Q$2:$Q$22, MATCH(A51, $S$2:$S$22, 0)))</f>
      </c>
      <c r="I51" s="50" t="s">
        <v>132</v>
      </c>
      <c r="J51" s="75">
        <f>SUM(B51,D51,F51,H51)</f>
      </c>
      <c r="K51" s="50"/>
      <c r="L51" s="60" t="s">
        <v>132</v>
      </c>
      <c r="M51" s="75">
        <f>AVERAGE(B51,D51,F51,H51)</f>
      </c>
      <c r="N51" s="50" t="s">
        <v>132</v>
      </c>
      <c r="O51" s="75">
        <f>_xlfn.STDEV.S(B51,D51,F51,H51)</f>
      </c>
      <c r="P51" s="51"/>
      <c r="Q51" s="48"/>
      <c r="R51" s="48"/>
      <c r="S51" s="48"/>
      <c r="T51" s="48"/>
      <c r="U51" s="48"/>
      <c r="V51" s="48"/>
    </row>
    <row r="52" spans="1:22">
      <c r="A52" s="60" t="s">
        <v>133</v>
      </c>
      <c r="B52" s="75" cm="1">
        <f t="array" ref="B52">COUNTIF(INDEX(seg_1,,,1), INDEX($Q$2:$Q$22, MATCH(A52, $S$2:$S$22, 0))) + COUNTIF(INDEX(seg_1,,,2), INDEX($Q$2:$Q$22, MATCH(A52, $S$2:$S$22, 0)))</f>
      </c>
      <c r="C52" s="60" t="s">
        <v>133</v>
      </c>
      <c r="D52" s="75" cm="1">
        <f t="array" ref="D52">COUNTIF(INDEX(seg_2,,,1), INDEX($Q$2:$Q$22, MATCH(A52, $S$2:$S$22, 0))) + COUNTIF(INDEX(seg_2,,,2), INDEX($Q$2:$Q$22, MATCH(A52, $S$2:$S$22, 0)))</f>
      </c>
      <c r="E52" s="60" t="s">
        <v>133</v>
      </c>
      <c r="F52" s="75" cm="1">
        <f t="array" ref="F52">COUNTIF(INDEX(seg_3,,,1), INDEX($Q$2:$Q$22, MATCH(A52, $S$2:$S$22, 0))) + COUNTIF(INDEX(seg_3,,,2), INDEX($Q$2:$Q$22, MATCH(A52, $S$2:$S$22, 0)))</f>
      </c>
      <c r="G52" s="60" t="s">
        <v>133</v>
      </c>
      <c r="H52" s="75" cm="1">
        <f t="array" ref="H52">COUNTIF(INDEX(seg_4,,,1), INDEX($Q$2:$Q$22, MATCH(A52, $S$2:$S$22, 0))) + COUNTIF(INDEX(seg_4,,,2), INDEX($Q$2:$Q$22, MATCH(A52, $S$2:$S$22, 0)))</f>
      </c>
      <c r="I52" s="50" t="s">
        <v>133</v>
      </c>
      <c r="J52" s="75">
        <f>SUM(B52,D52,F52,H52)</f>
      </c>
      <c r="K52" s="50"/>
      <c r="L52" s="60" t="s">
        <v>133</v>
      </c>
      <c r="M52" s="75">
        <f>AVERAGE(B52,D52,F52,H52)</f>
      </c>
      <c r="N52" s="50" t="s">
        <v>133</v>
      </c>
      <c r="O52" s="75">
        <f>_xlfn.STDEV.S(B52,D52,F52,H52)</f>
      </c>
      <c r="P52" s="51"/>
      <c r="Q52" s="48"/>
      <c r="R52" s="48"/>
      <c r="S52" s="48"/>
      <c r="T52" s="48"/>
      <c r="U52" s="48"/>
      <c r="V52" s="48"/>
    </row>
    <row r="53" spans="1:22">
      <c r="A53" s="60" t="s">
        <v>134</v>
      </c>
      <c r="B53" s="75" cm="1">
        <f t="array" ref="B53">COUNTIF(INDEX(seg_1,,,1), INDEX($Q$2:$Q$22, MATCH(A53, $S$2:$S$22, 0))) + COUNTIF(INDEX(seg_1,,,2), INDEX($Q$2:$Q$22, MATCH(A53, $S$2:$S$22, 0)))</f>
      </c>
      <c r="C53" s="60" t="s">
        <v>134</v>
      </c>
      <c r="D53" s="75" cm="1">
        <f t="array" ref="D53">COUNTIF(INDEX(seg_2,,,1), INDEX($Q$2:$Q$22, MATCH(A53, $S$2:$S$22, 0))) + COUNTIF(INDEX(seg_2,,,2), INDEX($Q$2:$Q$22, MATCH(A53, $S$2:$S$22, 0)))</f>
      </c>
      <c r="E53" s="60" t="s">
        <v>134</v>
      </c>
      <c r="F53" s="75" cm="1">
        <f t="array" ref="F53">COUNTIF(INDEX(seg_3,,,1), INDEX($Q$2:$Q$22, MATCH(A53, $S$2:$S$22, 0))) + COUNTIF(INDEX(seg_3,,,2), INDEX($Q$2:$Q$22, MATCH(A53, $S$2:$S$22, 0)))</f>
      </c>
      <c r="G53" s="60" t="s">
        <v>134</v>
      </c>
      <c r="H53" s="75" cm="1">
        <f t="array" ref="H53">COUNTIF(INDEX(seg_4,,,1), INDEX($Q$2:$Q$22, MATCH(A53, $S$2:$S$22, 0))) + COUNTIF(INDEX(seg_4,,,2), INDEX($Q$2:$Q$22, MATCH(A53, $S$2:$S$22, 0)))</f>
      </c>
      <c r="I53" s="50" t="s">
        <v>134</v>
      </c>
      <c r="J53" s="75">
        <f>SUM(B53,D53,F53,H53)</f>
      </c>
      <c r="K53" s="50"/>
      <c r="L53" s="60" t="s">
        <v>134</v>
      </c>
      <c r="M53" s="75">
        <f>AVERAGE(B53,D53,F53,H53)</f>
      </c>
      <c r="N53" s="50" t="s">
        <v>134</v>
      </c>
      <c r="O53" s="75">
        <f>_xlfn.STDEV.S(B53,D53,F53,H53)</f>
      </c>
      <c r="P53" s="51"/>
      <c r="Q53" s="48"/>
      <c r="R53" s="48"/>
      <c r="S53" s="48"/>
      <c r="T53" s="48"/>
      <c r="U53" s="48"/>
      <c r="V53" s="48"/>
    </row>
    <row r="54" spans="1:22">
      <c r="A54" s="76" t="s">
        <v>135</v>
      </c>
      <c r="B54" s="75" cm="1">
        <f t="array" ref="B54">COUNTIF(INDEX(seg_1,,,1), INDEX($Q$2:$Q$22, MATCH(A54, $S$2:$S$22, 0))) + COUNTIF(INDEX(seg_1,,,2), INDEX($Q$2:$Q$22, MATCH(A54, $S$2:$S$22, 0)))</f>
      </c>
      <c r="C54" s="76" t="s">
        <v>135</v>
      </c>
      <c r="D54" s="75" cm="1">
        <f t="array" ref="D54">COUNTIF(INDEX(seg_2,,,1), INDEX($Q$2:$Q$22, MATCH(A54, $S$2:$S$22, 0))) + COUNTIF(INDEX(seg_2,,,2), INDEX($Q$2:$Q$22, MATCH(A54, $S$2:$S$22, 0)))</f>
      </c>
      <c r="E54" s="76" t="s">
        <v>135</v>
      </c>
      <c r="F54" s="75" cm="1">
        <f t="array" ref="F54">COUNTIF(INDEX(seg_3,,,1), INDEX($Q$2:$Q$22, MATCH(A54, $S$2:$S$22, 0))) + COUNTIF(INDEX(seg_3,,,2), INDEX($Q$2:$Q$22, MATCH(A54, $S$2:$S$22, 0)))</f>
      </c>
      <c r="G54" s="76" t="s">
        <v>135</v>
      </c>
      <c r="H54" s="75" cm="1">
        <f t="array" ref="H54">COUNTIF(INDEX(seg_4,,,1), INDEX($Q$2:$Q$22, MATCH(A54, $S$2:$S$22, 0))) + COUNTIF(INDEX(seg_4,,,2), INDEX($Q$2:$Q$22, MATCH(A54, $S$2:$S$22, 0)))</f>
      </c>
      <c r="I54" s="53" t="s">
        <v>135</v>
      </c>
      <c r="J54" s="75">
        <f>SUM(B54,D54,F54,H54)</f>
      </c>
      <c r="K54" s="53"/>
      <c r="L54" s="76" t="s">
        <v>135</v>
      </c>
      <c r="M54" s="75">
        <f>AVERAGE(B54,D54,F54,H54)</f>
      </c>
      <c r="N54" s="53" t="s">
        <v>135</v>
      </c>
      <c r="O54" s="75">
        <f>_xlfn.STDEV.S(B54,D54,F54,H54)</f>
      </c>
      <c r="P54" s="51"/>
      <c r="Q54" s="48"/>
      <c r="R54" s="48"/>
      <c r="S54" s="48"/>
      <c r="T54" s="48"/>
      <c r="U54" s="48"/>
      <c r="V54" s="48"/>
    </row>
    <row r="55" spans="1:22">
      <c r="A55" s="60" t="s">
        <v>136</v>
      </c>
      <c r="B55" s="75" cm="1">
        <f t="array" ref="B55">COUNTIF(INDEX(seg_1,,,1), INDEX($Q$2:$Q$22, MATCH(A55, $S$2:$S$22, 0))) + COUNTIF(INDEX(seg_1,,,2), INDEX($Q$2:$Q$22, MATCH(A55, $S$2:$S$22, 0)))</f>
      </c>
      <c r="C55" s="60" t="s">
        <v>136</v>
      </c>
      <c r="D55" s="75" cm="1">
        <f t="array" ref="D55">COUNTIF(INDEX(seg_2,,,1), INDEX($Q$2:$Q$22, MATCH(A55, $S$2:$S$22, 0))) + COUNTIF(INDEX(seg_2,,,2), INDEX($Q$2:$Q$22, MATCH(A55, $S$2:$S$22, 0)))</f>
      </c>
      <c r="E55" s="60" t="s">
        <v>136</v>
      </c>
      <c r="F55" s="75" cm="1">
        <f t="array" ref="F55">COUNTIF(INDEX(seg_3,,,1), INDEX($Q$2:$Q$22, MATCH(A55, $S$2:$S$22, 0))) + COUNTIF(INDEX(seg_3,,,2), INDEX($Q$2:$Q$22, MATCH(A55, $S$2:$S$22, 0)))</f>
      </c>
      <c r="G55" s="60" t="s">
        <v>136</v>
      </c>
      <c r="H55" s="75" cm="1">
        <f t="array" ref="H55">COUNTIF(INDEX(seg_4,,,1), INDEX($Q$2:$Q$22, MATCH(A55, $S$2:$S$22, 0))) + COUNTIF(INDEX(seg_4,,,2), INDEX($Q$2:$Q$22, MATCH(A55, $S$2:$S$22, 0)))</f>
      </c>
      <c r="I55" s="50" t="s">
        <v>136</v>
      </c>
      <c r="J55" s="75">
        <f>SUM(B55,D55,F55,H55)</f>
      </c>
      <c r="K55" s="50"/>
      <c r="L55" s="60" t="s">
        <v>136</v>
      </c>
      <c r="M55" s="75">
        <f>AVERAGE(B55,D55,F55,H55)</f>
      </c>
      <c r="N55" s="50" t="s">
        <v>136</v>
      </c>
      <c r="O55" s="75">
        <f>_xlfn.STDEV.S(B55,D55,F55,H55)</f>
      </c>
      <c r="P55" s="51"/>
      <c r="Q55" s="48"/>
      <c r="R55" s="48"/>
      <c r="S55" s="48"/>
      <c r="T55" s="48"/>
      <c r="U55" s="48"/>
      <c r="V55" s="48"/>
    </row>
    <row r="56" spans="1:22">
      <c r="A56" s="60" t="s">
        <v>137</v>
      </c>
      <c r="B56" s="75" cm="1">
        <f t="array" ref="B56">COUNTIF(INDEX(seg_1,,,1), INDEX($Q$2:$Q$22, MATCH(A56, $S$2:$S$22, 0))) + COUNTIF(INDEX(seg_1,,,2), INDEX($Q$2:$Q$22, MATCH(A56, $S$2:$S$22, 0)))</f>
      </c>
      <c r="C56" s="60" t="s">
        <v>137</v>
      </c>
      <c r="D56" s="75" cm="1">
        <f t="array" ref="D56">COUNTIF(INDEX(seg_2,,,1), INDEX($Q$2:$Q$22, MATCH(A56, $S$2:$S$22, 0))) + COUNTIF(INDEX(seg_2,,,2), INDEX($Q$2:$Q$22, MATCH(A56, $S$2:$S$22, 0)))</f>
      </c>
      <c r="E56" s="60" t="s">
        <v>137</v>
      </c>
      <c r="F56" s="75" cm="1">
        <f t="array" ref="F56">COUNTIF(INDEX(seg_3,,,1), INDEX($Q$2:$Q$22, MATCH(A56, $S$2:$S$22, 0))) + COUNTIF(INDEX(seg_3,,,2), INDEX($Q$2:$Q$22, MATCH(A56, $S$2:$S$22, 0)))</f>
      </c>
      <c r="G56" s="60" t="s">
        <v>137</v>
      </c>
      <c r="H56" s="75" cm="1">
        <f t="array" ref="H56">COUNTIF(INDEX(seg_4,,,1), INDEX($Q$2:$Q$22, MATCH(A56, $S$2:$S$22, 0))) + COUNTIF(INDEX(seg_4,,,2), INDEX($Q$2:$Q$22, MATCH(A56, $S$2:$S$22, 0)))</f>
      </c>
      <c r="I56" s="50" t="s">
        <v>137</v>
      </c>
      <c r="J56" s="75">
        <f>SUM(B56,D56,F56,H56)</f>
      </c>
      <c r="K56" s="50"/>
      <c r="L56" s="60" t="s">
        <v>137</v>
      </c>
      <c r="M56" s="75">
        <f>AVERAGE(B56,D56,F56,H56)</f>
      </c>
      <c r="N56" s="50" t="s">
        <v>137</v>
      </c>
      <c r="O56" s="75">
        <f>_xlfn.STDEV.S(B56,D56,F56,H56)</f>
      </c>
      <c r="P56" s="51"/>
      <c r="Q56" s="48"/>
      <c r="R56" s="48"/>
      <c r="S56" s="48"/>
      <c r="T56" s="48"/>
      <c r="U56" s="48"/>
      <c r="V56" s="48"/>
    </row>
    <row r="57" spans="1:22">
      <c r="A57" s="60" t="s">
        <v>231</v>
      </c>
      <c r="B57" s="75" cm="1">
        <f t="array" ref="B57">COUNTIF(INDEX(seg_1,,,1), INDEX($Q$2:$Q$22, MATCH(A57, $S$2:$S$22, 0))) + COUNTIF(INDEX(seg_1,,,2), INDEX($Q$2:$Q$22, MATCH(A57, $S$2:$S$22, 0)))</f>
      </c>
      <c r="C57" s="60" t="s">
        <v>231</v>
      </c>
      <c r="D57" s="75" cm="1">
        <f t="array" ref="D57">COUNTIF(INDEX(seg_2,,,1), INDEX($Q$2:$Q$22, MATCH(A57, $S$2:$S$22, 0))) + COUNTIF(INDEX(seg_2,,,2), INDEX($Q$2:$Q$22, MATCH(A57, $S$2:$S$22, 0)))</f>
      </c>
      <c r="E57" s="60" t="s">
        <v>231</v>
      </c>
      <c r="F57" s="75" cm="1">
        <f t="array" ref="F57">COUNTIF(INDEX(seg_3,,,1), INDEX($Q$2:$Q$22, MATCH(A57, $S$2:$S$22, 0))) + COUNTIF(INDEX(seg_3,,,2), INDEX($Q$2:$Q$22, MATCH(A57, $S$2:$S$22, 0)))</f>
      </c>
      <c r="G57" s="60" t="s">
        <v>231</v>
      </c>
      <c r="H57" s="75" cm="1">
        <f t="array" ref="H57">COUNTIF(INDEX(seg_4,,,1), INDEX($Q$2:$Q$22, MATCH(A57, $S$2:$S$22, 0))) + COUNTIF(INDEX(seg_4,,,2), INDEX($Q$2:$Q$22, MATCH(A57, $S$2:$S$22, 0)))</f>
      </c>
      <c r="I57" s="50" t="s">
        <v>231</v>
      </c>
      <c r="J57" s="75">
        <f>SUM(B57,D57,F57,H57)</f>
      </c>
      <c r="K57" s="50"/>
      <c r="L57" s="60" t="s">
        <v>231</v>
      </c>
      <c r="M57" s="75">
        <f>AVERAGE(B57,D57,F57,H57)</f>
      </c>
      <c r="N57" s="50" t="s">
        <v>231</v>
      </c>
      <c r="O57" s="75">
        <f>_xlfn.STDEV.S(B57,D57,F57,H57)</f>
      </c>
      <c r="P57" s="51"/>
      <c r="Q57" s="48"/>
      <c r="R57" s="48"/>
      <c r="S57" s="48"/>
      <c r="T57" s="48"/>
      <c r="U57" s="48"/>
      <c r="V57" s="48"/>
    </row>
    <row r="58" spans="1:22">
      <c r="A58" s="60" t="s">
        <v>232</v>
      </c>
      <c r="B58" s="75" cm="1">
        <f t="array" ref="B58">COUNTIF(INDEX(seg_1,,,1), INDEX($Q$2:$Q$22, MATCH(A58, $S$2:$S$22, 0))) + COUNTIF(INDEX(seg_1,,,2), INDEX($Q$2:$Q$22, MATCH(A58, $S$2:$S$22, 0)))</f>
      </c>
      <c r="C58" s="60" t="s">
        <v>232</v>
      </c>
      <c r="D58" s="75" cm="1">
        <f t="array" ref="D58">COUNTIF(INDEX(seg_2,,,1), INDEX($Q$2:$Q$22, MATCH(A58, $S$2:$S$22, 0))) + COUNTIF(INDEX(seg_2,,,2), INDEX($Q$2:$Q$22, MATCH(A58, $S$2:$S$22, 0)))</f>
      </c>
      <c r="E58" s="60" t="s">
        <v>232</v>
      </c>
      <c r="F58" s="75" cm="1">
        <f t="array" ref="F58">COUNTIF(INDEX(seg_3,,,1), INDEX($Q$2:$Q$22, MATCH(A58, $S$2:$S$22, 0))) + COUNTIF(INDEX(seg_3,,,2), INDEX($Q$2:$Q$22, MATCH(A58, $S$2:$S$22, 0)))</f>
      </c>
      <c r="G58" s="60" t="s">
        <v>232</v>
      </c>
      <c r="H58" s="75" cm="1">
        <f t="array" ref="H58">COUNTIF(INDEX(seg_4,,,1), INDEX($Q$2:$Q$22, MATCH(A58, $S$2:$S$22, 0))) + COUNTIF(INDEX(seg_4,,,2), INDEX($Q$2:$Q$22, MATCH(A58, $S$2:$S$22, 0)))</f>
      </c>
      <c r="I58" s="50" t="s">
        <v>232</v>
      </c>
      <c r="J58" s="75">
        <f>SUM(B58,D58,F58,H58)</f>
      </c>
      <c r="K58" s="50"/>
      <c r="L58" s="60" t="s">
        <v>232</v>
      </c>
      <c r="M58" s="75">
        <f>AVERAGE(B58,D58,F58,H58)</f>
      </c>
      <c r="N58" s="50" t="s">
        <v>232</v>
      </c>
      <c r="O58" s="75">
        <f>_xlfn.STDEV.S(B58,D58,F58,H58)</f>
      </c>
      <c r="P58" s="51"/>
      <c r="Q58" s="48"/>
      <c r="R58" s="48"/>
      <c r="S58" s="48"/>
      <c r="T58" s="48"/>
      <c r="U58" s="48"/>
      <c r="V58" s="48"/>
    </row>
    <row r="59" spans="1:22">
      <c r="A59" s="60" t="s">
        <v>233</v>
      </c>
      <c r="B59" s="75" cm="1">
        <f t="array" ref="B59">COUNTIF(INDEX(seg_1,,,1), INDEX($Q$2:$Q$22, MATCH(A59, $S$2:$S$22, 0))) + COUNTIF(INDEX(seg_1,,,2), INDEX($Q$2:$Q$22, MATCH(A59, $S$2:$S$22, 0)))</f>
      </c>
      <c r="C59" s="60" t="s">
        <v>233</v>
      </c>
      <c r="D59" s="75" cm="1">
        <f t="array" ref="D59">COUNTIF(INDEX(seg_2,,,1), INDEX($Q$2:$Q$22, MATCH(A59, $S$2:$S$22, 0))) + COUNTIF(INDEX(seg_2,,,2), INDEX($Q$2:$Q$22, MATCH(A59, $S$2:$S$22, 0)))</f>
      </c>
      <c r="E59" s="60" t="s">
        <v>233</v>
      </c>
      <c r="F59" s="75" cm="1">
        <f t="array" ref="F59">COUNTIF(INDEX(seg_3,,,1), INDEX($Q$2:$Q$22, MATCH(A59, $S$2:$S$22, 0))) + COUNTIF(INDEX(seg_3,,,2), INDEX($Q$2:$Q$22, MATCH(A59, $S$2:$S$22, 0)))</f>
      </c>
      <c r="G59" s="60" t="s">
        <v>233</v>
      </c>
      <c r="H59" s="75" cm="1">
        <f t="array" ref="H59">COUNTIF(INDEX(seg_4,,,1), INDEX($Q$2:$Q$22, MATCH(A59, $S$2:$S$22, 0))) + COUNTIF(INDEX(seg_4,,,2), INDEX($Q$2:$Q$22, MATCH(A59, $S$2:$S$22, 0)))</f>
      </c>
      <c r="I59" s="50" t="s">
        <v>233</v>
      </c>
      <c r="J59" s="75">
        <f>SUM(B59,D59,F59,H59)</f>
      </c>
      <c r="K59" s="50"/>
      <c r="L59" s="60" t="s">
        <v>233</v>
      </c>
      <c r="M59" s="75">
        <f>AVERAGE(B59,D59,F59,H59)</f>
      </c>
      <c r="N59" s="50" t="s">
        <v>233</v>
      </c>
      <c r="O59" s="75">
        <f>_xlfn.STDEV.S(B59,D59,F59,H59)</f>
      </c>
      <c r="P59" s="51"/>
      <c r="Q59" s="48"/>
      <c r="R59" s="48"/>
      <c r="S59" s="48"/>
      <c r="T59" s="48"/>
      <c r="U59" s="48"/>
      <c r="V59" s="48"/>
    </row>
    <row r="60" spans="1:22">
      <c r="A60" s="60" t="s">
        <v>234</v>
      </c>
      <c r="B60" s="75" cm="1">
        <f t="array" ref="B60">COUNTIF(INDEX(seg_1,,,1), INDEX($Q$2:$Q$22, MATCH(A60, $S$2:$S$22, 0))) + COUNTIF(INDEX(seg_1,,,2), INDEX($Q$2:$Q$22, MATCH(A60, $S$2:$S$22, 0)))</f>
      </c>
      <c r="C60" s="60" t="s">
        <v>234</v>
      </c>
      <c r="D60" s="75" cm="1">
        <f t="array" ref="D60">COUNTIF(INDEX(seg_2,,,1), INDEX($Q$2:$Q$22, MATCH(A60, $S$2:$S$22, 0))) + COUNTIF(INDEX(seg_2,,,2), INDEX($Q$2:$Q$22, MATCH(A60, $S$2:$S$22, 0)))</f>
      </c>
      <c r="E60" s="60" t="s">
        <v>234</v>
      </c>
      <c r="F60" s="75" cm="1">
        <f t="array" ref="F60">COUNTIF(INDEX(seg_3,,,1), INDEX($Q$2:$Q$22, MATCH(A60, $S$2:$S$22, 0))) + COUNTIF(INDEX(seg_3,,,2), INDEX($Q$2:$Q$22, MATCH(A60, $S$2:$S$22, 0)))</f>
      </c>
      <c r="G60" s="60" t="s">
        <v>234</v>
      </c>
      <c r="H60" s="75" cm="1">
        <f t="array" ref="H60">COUNTIF(INDEX(seg_4,,,1), INDEX($Q$2:$Q$22, MATCH(A60, $S$2:$S$22, 0))) + COUNTIF(INDEX(seg_4,,,2), INDEX($Q$2:$Q$22, MATCH(A60, $S$2:$S$22, 0)))</f>
      </c>
      <c r="I60" s="50" t="s">
        <v>234</v>
      </c>
      <c r="J60" s="75">
        <f>SUM(B60,D60,F60,H60)</f>
      </c>
      <c r="K60" s="50"/>
      <c r="L60" s="60" t="s">
        <v>234</v>
      </c>
      <c r="M60" s="75">
        <f>AVERAGE(B60,D60,F60,H60)</f>
      </c>
      <c r="N60" s="50" t="s">
        <v>234</v>
      </c>
      <c r="O60" s="75">
        <f>_xlfn.STDEV.S(B60,D60,F60,H60)</f>
      </c>
      <c r="P60" s="51"/>
      <c r="Q60" s="48"/>
      <c r="R60" s="48"/>
      <c r="S60" s="48"/>
      <c r="T60" s="48"/>
      <c r="U60" s="48"/>
      <c r="V60" s="48"/>
    </row>
    <row r="61" spans="1:22">
      <c r="A61" s="60" t="s">
        <v>235</v>
      </c>
      <c r="B61" s="75" cm="1">
        <f t="array" ref="B61">COUNTIF(INDEX(seg_1,,,1), INDEX($Q$2:$Q$22, MATCH(A61, $S$2:$S$22, 0))) + COUNTIF(INDEX(seg_1,,,2), INDEX($Q$2:$Q$22, MATCH(A61, $S$2:$S$22, 0)))</f>
      </c>
      <c r="C61" s="60" t="s">
        <v>235</v>
      </c>
      <c r="D61" s="75" cm="1">
        <f t="array" ref="D61">COUNTIF(INDEX(seg_2,,,1), INDEX($Q$2:$Q$22, MATCH(A61, $S$2:$S$22, 0))) + COUNTIF(INDEX(seg_2,,,2), INDEX($Q$2:$Q$22, MATCH(A61, $S$2:$S$22, 0)))</f>
      </c>
      <c r="E61" s="60" t="s">
        <v>235</v>
      </c>
      <c r="F61" s="75" cm="1">
        <f t="array" ref="F61">COUNTIF(INDEX(seg_3,,,1), INDEX($Q$2:$Q$22, MATCH(A61, $S$2:$S$22, 0))) + COUNTIF(INDEX(seg_3,,,2), INDEX($Q$2:$Q$22, MATCH(A61, $S$2:$S$22, 0)))</f>
      </c>
      <c r="G61" s="60" t="s">
        <v>235</v>
      </c>
      <c r="H61" s="75" cm="1">
        <f t="array" ref="H61">COUNTIF(INDEX(seg_4,,,1), INDEX($Q$2:$Q$22, MATCH(A61, $S$2:$S$22, 0))) + COUNTIF(INDEX(seg_4,,,2), INDEX($Q$2:$Q$22, MATCH(A61, $S$2:$S$22, 0)))</f>
      </c>
      <c r="I61" s="50" t="s">
        <v>235</v>
      </c>
      <c r="J61" s="75">
        <f>SUM(B61,D61,F61,H61)</f>
      </c>
      <c r="K61" s="50"/>
      <c r="L61" s="60" t="s">
        <v>235</v>
      </c>
      <c r="M61" s="75">
        <f>AVERAGE(B61,D61,F61,H61)</f>
      </c>
      <c r="N61" s="50" t="s">
        <v>235</v>
      </c>
      <c r="O61" s="75">
        <f>_xlfn.STDEV.S(B61,D61,F61,H61)</f>
      </c>
      <c r="P61" s="51"/>
      <c r="Q61" s="48"/>
      <c r="R61" s="48"/>
      <c r="S61" s="48"/>
      <c r="T61" s="48"/>
      <c r="U61" s="48"/>
      <c r="V61" s="48"/>
    </row>
    <row r="62" spans="1:22">
      <c r="A62" s="60" t="s">
        <v>236</v>
      </c>
      <c r="B62" s="75" cm="1">
        <f t="array" ref="B62">COUNTIF(INDEX(seg_1,,,1), INDEX($Q$2:$Q$22, MATCH(A62, $S$2:$S$22, 0))) + COUNTIF(INDEX(seg_1,,,2), INDEX($Q$2:$Q$22, MATCH(A62, $S$2:$S$22, 0)))</f>
      </c>
      <c r="C62" s="60" t="s">
        <v>198</v>
      </c>
      <c r="D62" s="75" cm="1">
        <f t="array" ref="D62">COUNTIF(INDEX(seg_2,,,1), INDEX($Q$2:$Q$22, MATCH(A62, $S$2:$S$22, 0))) + COUNTIF(INDEX(seg_2,,,2), INDEX($Q$2:$Q$22, MATCH(A62, $S$2:$S$22, 0)))</f>
      </c>
      <c r="E62" s="60" t="s">
        <v>198</v>
      </c>
      <c r="F62" s="75" cm="1">
        <f t="array" ref="F62">COUNTIF(INDEX(seg_3,,,1), INDEX($Q$2:$Q$22, MATCH(A62, $S$2:$S$22, 0))) + COUNTIF(INDEX(seg_3,,,2), INDEX($Q$2:$Q$22, MATCH(A62, $S$2:$S$22, 0)))</f>
      </c>
      <c r="G62" s="60" t="s">
        <v>198</v>
      </c>
      <c r="H62" s="75" cm="1">
        <f t="array" ref="H62">COUNTIF(INDEX(seg_4,,,1), INDEX($Q$2:$Q$22, MATCH(A62, $S$2:$S$22, 0))) + COUNTIF(INDEX(seg_4,,,2), INDEX($Q$2:$Q$22, MATCH(A62, $S$2:$S$22, 0)))</f>
      </c>
      <c r="I62" s="50" t="s">
        <v>198</v>
      </c>
      <c r="J62" s="75">
        <f>SUM(B62,D62,F62,H62)</f>
      </c>
      <c r="K62" s="50"/>
      <c r="L62" s="60" t="s">
        <v>198</v>
      </c>
      <c r="M62" s="75">
        <f>AVERAGE(B62,D62,F62,H62)</f>
      </c>
      <c r="N62" s="50" t="s">
        <v>198</v>
      </c>
      <c r="O62" s="75">
        <f>_xlfn.STDEV.S(B62,D62,F62,H62)</f>
      </c>
      <c r="P62" s="51"/>
      <c r="Q62" s="48"/>
      <c r="R62" s="26"/>
      <c r="S62" s="48"/>
      <c r="T62" s="48"/>
      <c r="U62" s="48"/>
      <c r="V62" s="48"/>
    </row>
    <row r="63" spans="1:22">
      <c r="A63" s="60" t="s">
        <v>237</v>
      </c>
      <c r="B63" s="75" cm="1">
        <f t="array" ref="B63">COUNTIF(INDEX(seg_1,,,1), INDEX($Q$2:$Q$22, MATCH(A63, $S$2:$S$22, 0))) + COUNTIF(INDEX(seg_1,,,2), INDEX($Q$2:$Q$22, MATCH(A63, $S$2:$S$22, 0)))</f>
      </c>
      <c r="C63" s="60" t="s">
        <v>237</v>
      </c>
      <c r="D63" s="75" cm="1">
        <f t="array" ref="D63">COUNTIF(INDEX(seg_2,,,1), INDEX($Q$2:$Q$22, MATCH(A63, $S$2:$S$22, 0))) + COUNTIF(INDEX(seg_2,,,2), INDEX($Q$2:$Q$22, MATCH(A63, $S$2:$S$22, 0)))</f>
      </c>
      <c r="E63" s="60" t="s">
        <v>237</v>
      </c>
      <c r="F63" s="75" cm="1">
        <f t="array" ref="F63">COUNTIF(INDEX(seg_3,,,1), INDEX($Q$2:$Q$22, MATCH(A63, $S$2:$S$22, 0))) + COUNTIF(INDEX(seg_3,,,2), INDEX($Q$2:$Q$22, MATCH(A63, $S$2:$S$22, 0)))</f>
      </c>
      <c r="G63" s="60" t="s">
        <v>237</v>
      </c>
      <c r="H63" s="75" cm="1">
        <f t="array" ref="H63">COUNTIF(INDEX(seg_4,,,1), INDEX($Q$2:$Q$22, MATCH(A63, $S$2:$S$22, 0))) + COUNTIF(INDEX(seg_4,,,2), INDEX($Q$2:$Q$22, MATCH(A63, $S$2:$S$22, 0)))</f>
      </c>
      <c r="I63" s="50" t="s">
        <v>237</v>
      </c>
      <c r="J63" s="75">
        <f>SUM(B63,D63,F63,H63)</f>
      </c>
      <c r="K63" s="50"/>
      <c r="L63" s="60" t="s">
        <v>237</v>
      </c>
      <c r="M63" s="75">
        <f>AVERAGE(B63,D63,F63,H63)</f>
      </c>
      <c r="N63" s="50" t="s">
        <v>237</v>
      </c>
      <c r="O63" s="75">
        <f>_xlfn.STDEV.S(B63,D63,F63,H63)</f>
      </c>
      <c r="P63" s="51"/>
      <c r="Q63" s="48"/>
      <c r="R63" s="48"/>
      <c r="S63" s="48"/>
      <c r="T63" s="48"/>
      <c r="U63" s="48"/>
      <c r="V63" s="48"/>
    </row>
    <row r="64" spans="1:22">
      <c r="A64" s="60" t="s">
        <v>238</v>
      </c>
      <c r="B64" s="75" cm="1">
        <f t="array" ref="B64">COUNTIF(INDEX(seg_1,,,1), INDEX($Q$2:$Q$22, MATCH(A64, $S$2:$S$22, 0))) + COUNTIF(INDEX(seg_1,,,2), INDEX($Q$2:$Q$22, MATCH(A64, $S$2:$S$22, 0)))</f>
      </c>
      <c r="C64" s="60" t="s">
        <v>202</v>
      </c>
      <c r="D64" s="75" cm="1">
        <f t="array" ref="D64">COUNTIF(INDEX(seg_2,,,1), INDEX($Q$2:$Q$22, MATCH(A64, $S$2:$S$22, 0))) + COUNTIF(INDEX(seg_2,,,2), INDEX($Q$2:$Q$22, MATCH(A64, $S$2:$S$22, 0)))</f>
      </c>
      <c r="E64" s="60" t="s">
        <v>202</v>
      </c>
      <c r="F64" s="75" cm="1">
        <f t="array" ref="F64">COUNTIF(INDEX(seg_3,,,1), INDEX($Q$2:$Q$22, MATCH(A64, $S$2:$S$22, 0))) + COUNTIF(INDEX(seg_3,,,2), INDEX($Q$2:$Q$22, MATCH(A64, $S$2:$S$22, 0)))</f>
      </c>
      <c r="G64" s="60" t="s">
        <v>202</v>
      </c>
      <c r="H64" s="75" cm="1">
        <f t="array" ref="H64">COUNTIF(INDEX(seg_4,,,1), INDEX($Q$2:$Q$22, MATCH(A64, $S$2:$S$22, 0))) + COUNTIF(INDEX(seg_4,,,2), INDEX($Q$2:$Q$22, MATCH(A64, $S$2:$S$22, 0)))</f>
      </c>
      <c r="I64" s="50" t="s">
        <v>202</v>
      </c>
      <c r="J64" s="75">
        <f>SUM(B64,D64,F64,H64)</f>
      </c>
      <c r="K64" s="50"/>
      <c r="L64" s="60" t="s">
        <v>202</v>
      </c>
      <c r="M64" s="75">
        <f>AVERAGE(B64,D64,F64,H64)</f>
      </c>
      <c r="N64" s="50" t="s">
        <v>202</v>
      </c>
      <c r="O64" s="75">
        <f>_xlfn.STDEV.S(B64,D64,F64,H64)</f>
      </c>
      <c r="P64" s="51"/>
      <c r="Q64" s="48"/>
      <c r="R64" s="48"/>
      <c r="S64" s="48"/>
      <c r="T64" s="48"/>
      <c r="U64" s="48"/>
      <c r="V64" s="48"/>
    </row>
    <row r="65" spans="1:22">
      <c r="A65" s="60" t="s">
        <v>239</v>
      </c>
      <c r="B65" s="75" cm="1">
        <f t="array" ref="B65">COUNTIF(INDEX(seg_1,,,1), INDEX($Q$2:$Q$22, MATCH(A65, $S$2:$S$22, 0))) + COUNTIF(INDEX(seg_1,,,2), INDEX($Q$2:$Q$22, MATCH(A65, $S$2:$S$22, 0)))</f>
      </c>
      <c r="C65" s="60" t="s">
        <v>239</v>
      </c>
      <c r="D65" s="75" cm="1">
        <f t="array" ref="D65">COUNTIF(INDEX(seg_2,,,1), INDEX($Q$2:$Q$22, MATCH(A65, $S$2:$S$22, 0))) + COUNTIF(INDEX(seg_2,,,2), INDEX($Q$2:$Q$22, MATCH(A65, $S$2:$S$22, 0)))</f>
      </c>
      <c r="E65" s="60" t="s">
        <v>239</v>
      </c>
      <c r="F65" s="75" cm="1">
        <f t="array" ref="F65">COUNTIF(INDEX(seg_3,,,1), INDEX($Q$2:$Q$22, MATCH(A65, $S$2:$S$22, 0))) + COUNTIF(INDEX(seg_3,,,2), INDEX($Q$2:$Q$22, MATCH(A65, $S$2:$S$22, 0)))</f>
      </c>
      <c r="G65" s="60" t="s">
        <v>239</v>
      </c>
      <c r="H65" s="75" cm="1">
        <f t="array" ref="H65">COUNTIF(INDEX(seg_4,,,1), INDEX($Q$2:$Q$22, MATCH(A65, $S$2:$S$22, 0))) + COUNTIF(INDEX(seg_4,,,2), INDEX($Q$2:$Q$22, MATCH(A65, $S$2:$S$22, 0)))</f>
      </c>
      <c r="I65" s="50" t="s">
        <v>239</v>
      </c>
      <c r="J65" s="75">
        <f>SUM(B65,D65,F65,H65)</f>
      </c>
      <c r="K65" s="50"/>
      <c r="L65" s="60" t="s">
        <v>239</v>
      </c>
      <c r="M65" s="75">
        <f>AVERAGE(B65,D65,F65,H65)</f>
      </c>
      <c r="N65" s="50" t="s">
        <v>239</v>
      </c>
      <c r="O65" s="75">
        <f>_xlfn.STDEV.S(B65,D65,F65,H65)</f>
      </c>
      <c r="P65" s="51"/>
      <c r="Q65" s="48"/>
      <c r="R65" s="48"/>
      <c r="S65" s="48"/>
      <c r="T65" s="48"/>
      <c r="U65" s="48"/>
      <c r="V65" s="48"/>
    </row>
    <row r="66" spans="1:22">
      <c r="A66" s="60" t="s">
        <v>240</v>
      </c>
      <c r="B66" s="75" cm="1">
        <f t="array" ref="B66">COUNTIF(INDEX(seg_1,,,1), INDEX($Q$2:$Q$22, MATCH(A66, $S$2:$S$22, 0))) + COUNTIF(INDEX(seg_1,,,2), INDEX($Q$2:$Q$22, MATCH(A66, $S$2:$S$22, 0)))</f>
      </c>
      <c r="C66" s="60" t="s">
        <v>240</v>
      </c>
      <c r="D66" s="75" cm="1">
        <f t="array" ref="D66">COUNTIF(INDEX(seg_2,,,1), INDEX($Q$2:$Q$22, MATCH(A66, $S$2:$S$22, 0))) + COUNTIF(INDEX(seg_2,,,2), INDEX($Q$2:$Q$22, MATCH(A66, $S$2:$S$22, 0)))</f>
      </c>
      <c r="E66" s="60" t="s">
        <v>240</v>
      </c>
      <c r="F66" s="75" cm="1">
        <f t="array" ref="F66">COUNTIF(INDEX(seg_3,,,1), INDEX($Q$2:$Q$22, MATCH(A66, $S$2:$S$22, 0))) + COUNTIF(INDEX(seg_3,,,2), INDEX($Q$2:$Q$22, MATCH(A66, $S$2:$S$22, 0)))</f>
      </c>
      <c r="G66" s="60" t="s">
        <v>240</v>
      </c>
      <c r="H66" s="75" cm="1">
        <f t="array" ref="H66">COUNTIF(INDEX(seg_4,,,1), INDEX($Q$2:$Q$22, MATCH(A66, $S$2:$S$22, 0))) + COUNTIF(INDEX(seg_4,,,2), INDEX($Q$2:$Q$22, MATCH(A66, $S$2:$S$22, 0)))</f>
      </c>
      <c r="I66" s="50" t="s">
        <v>240</v>
      </c>
      <c r="J66" s="75">
        <f>SUM(B66,D66,F66,H66)</f>
      </c>
      <c r="K66" s="50"/>
      <c r="L66" s="60" t="s">
        <v>240</v>
      </c>
      <c r="M66" s="75">
        <f>AVERAGE(B66,D66,F66,H66)</f>
      </c>
      <c r="N66" s="50" t="s">
        <v>240</v>
      </c>
      <c r="O66" s="75">
        <f>_xlfn.STDEV.S(B66,D66,F66,H66)</f>
      </c>
      <c r="P66" s="51"/>
      <c r="Q66" s="48"/>
      <c r="R66" s="48"/>
      <c r="S66" s="48"/>
      <c r="T66" s="48"/>
      <c r="U66" s="48"/>
      <c r="V66" s="48"/>
    </row>
    <row r="67" spans="1:22" ht="19" thickBot="1">
      <c r="A67" s="60" t="s">
        <v>241</v>
      </c>
      <c r="B67" s="75" cm="1">
        <f t="array" ref="B67">COUNTIF(INDEX(seg_1,,,1), INDEX($Q$2:$Q$22, MATCH(A67, $S$2:$S$22, 0))) + COUNTIF(INDEX(seg_1,,,2), INDEX($Q$2:$Q$22, MATCH(A67, $S$2:$S$22, 0)))</f>
      </c>
      <c r="C67" s="60" t="s">
        <v>241</v>
      </c>
      <c r="D67" s="75" cm="1">
        <f t="array" ref="D67">COUNTIF(INDEX(seg_2,,,1), INDEX($Q$2:$Q$22, MATCH(A67, $S$2:$S$22, 0))) + COUNTIF(INDEX(seg_2,,,2), INDEX($Q$2:$Q$22, MATCH(A67, $S$2:$S$22, 0)))</f>
      </c>
      <c r="E67" s="60" t="s">
        <v>241</v>
      </c>
      <c r="F67" s="75" cm="1">
        <f t="array" ref="F67">COUNTIF(INDEX(seg_3,,,1), INDEX($Q$2:$Q$22, MATCH(A67, $S$2:$S$22, 0))) + COUNTIF(INDEX(seg_3,,,2), INDEX($Q$2:$Q$22, MATCH(A67, $S$2:$S$22, 0)))</f>
      </c>
      <c r="G67" s="60" t="s">
        <v>241</v>
      </c>
      <c r="H67" s="75" cm="1">
        <f t="array" ref="H67">COUNTIF(INDEX(seg_4,,,1), INDEX($Q$2:$Q$22, MATCH(A67, $S$2:$S$22, 0))) + COUNTIF(INDEX(seg_4,,,2), INDEX($Q$2:$Q$22, MATCH(A67, $S$2:$S$22, 0)))</f>
      </c>
      <c r="I67" s="50" t="s">
        <v>241</v>
      </c>
      <c r="J67" s="75">
        <f>SUM(B67,D67,F67,H67)</f>
      </c>
      <c r="K67" s="50"/>
      <c r="L67" s="77" t="s">
        <v>241</v>
      </c>
      <c r="M67" s="78">
        <f>AVERAGE(B67,D67,F67,H67)</f>
      </c>
      <c r="N67" s="79" t="s">
        <v>241</v>
      </c>
      <c r="O67" s="78">
        <f>_xlfn.STDEV.S(B67,D67,F67,H67)</f>
      </c>
      <c r="P67" s="51"/>
      <c r="Q67" s="48"/>
      <c r="R67" s="48"/>
      <c r="S67" s="48"/>
      <c r="T67" s="48"/>
      <c r="U67" s="48"/>
      <c r="V67" s="48"/>
    </row>
    <row r="68" spans="1:22" ht="19" thickBot="1">
      <c r="A68" s="80" t="s">
        <v>242</v>
      </c>
      <c r="B68" s="81">
        <f>SUM(B47:B67)</f>
      </c>
      <c r="C68" s="80" t="s">
        <v>242</v>
      </c>
      <c r="D68" s="81">
        <f>SUM(D47:D67)</f>
      </c>
      <c r="E68" s="80" t="s">
        <v>242</v>
      </c>
      <c r="F68" s="81">
        <f>SUM(F47:F67)</f>
      </c>
      <c r="G68" s="80" t="s">
        <v>242</v>
      </c>
      <c r="H68" s="81">
        <f>SUM(H47:H67)</f>
      </c>
      <c r="I68" s="82"/>
      <c r="J68" s="74">
        <f>SUM(J47:J67)</f>
      </c>
      <c r="K68" s="50"/>
      <c r="L68" s="50"/>
      <c r="M68" s="53"/>
      <c r="N68" s="53"/>
      <c r="O68" s="50"/>
      <c r="P68" s="51"/>
      <c r="Q68" s="48"/>
      <c r="R68" s="48"/>
      <c r="S68" s="48"/>
      <c r="T68" s="48"/>
      <c r="U68" s="48"/>
      <c r="V68" s="48"/>
    </row>
    <row r="69" spans="1:22">
      <c r="A69" s="71" t="s">
        <v>243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3"/>
      <c r="M69" s="53"/>
      <c r="N69" s="53"/>
      <c r="O69" s="53"/>
      <c r="P69" s="51"/>
      <c r="Q69" s="48"/>
      <c r="R69" s="48"/>
      <c r="S69" s="48"/>
      <c r="T69" s="48"/>
      <c r="U69" s="48"/>
      <c r="V69" s="48"/>
    </row>
    <row r="70" spans="1:22" ht="19" thickBot="1">
      <c r="A70" s="83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5"/>
      <c r="Q70" s="48"/>
      <c r="R70" s="48"/>
      <c r="S70" s="48"/>
      <c r="T70" s="48"/>
      <c r="U70" s="48"/>
      <c r="V70" s="48"/>
    </row>
    <row r="71" spans="1:22" ht="19" thickBot="1">
      <c r="A71" s="72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72"/>
      <c r="M71" s="72"/>
      <c r="O71" s="48"/>
      <c r="P71" s="48"/>
      <c r="Q71" s="48"/>
      <c r="R71" s="48"/>
      <c r="S71" s="48"/>
      <c r="T71" s="48"/>
      <c r="U71" s="48"/>
      <c r="V71" s="48"/>
    </row>
    <row r="72" spans="1:22" ht="19" thickBot="1">
      <c r="A72" s="91" t="s">
        <v>225</v>
      </c>
      <c r="B72" s="92"/>
      <c r="C72" s="91" t="s">
        <v>226</v>
      </c>
      <c r="D72" s="92"/>
      <c r="E72" s="91" t="s">
        <v>227</v>
      </c>
      <c r="F72" s="92"/>
      <c r="G72" s="91" t="s">
        <v>228</v>
      </c>
      <c r="H72" s="92"/>
      <c r="I72" s="91" t="s">
        <v>229</v>
      </c>
      <c r="J72" s="92"/>
      <c r="K72" s="93"/>
      <c r="L72" s="94" t="s">
        <v>230</v>
      </c>
      <c r="M72" s="92"/>
      <c r="N72" s="112" t="s">
        <v>135</v>
      </c>
      <c r="O72" s="99"/>
      <c r="P72" s="48"/>
      <c r="Q72" s="48"/>
      <c r="R72" s="48"/>
      <c r="S72" s="48"/>
      <c r="T72" s="48"/>
      <c r="U72" s="48"/>
      <c r="V72" s="48"/>
    </row>
    <row r="73" spans="1:22" ht="19" customHeight="1">
      <c r="A73" s="95" t="s">
        <v>127</v>
      </c>
      <c r="B73" s="96">
        <f>SUM(B47,B57,B58,B59)</f>
      </c>
      <c r="C73" s="95" t="s">
        <v>127</v>
      </c>
      <c r="D73" s="96">
        <f>SUM(D47,D57:D59)</f>
      </c>
      <c r="E73" s="95" t="s">
        <v>127</v>
      </c>
      <c r="F73" s="96">
        <f>SUM(F47,F57:F59)</f>
      </c>
      <c r="G73" s="95" t="s">
        <v>127</v>
      </c>
      <c r="H73" s="96">
        <f>SUM(H47,H57:H59)</f>
      </c>
      <c r="I73" s="95" t="s">
        <v>127</v>
      </c>
      <c r="J73" s="96">
        <f>SUM(B73,D73,F73,H73)</f>
      </c>
      <c r="K73" s="97"/>
      <c r="L73" s="98" t="s">
        <v>127</v>
      </c>
      <c r="M73" s="105">
        <f>AVERAGE(B73,D73,F73,H73)</f>
      </c>
      <c r="N73" s="98" t="s">
        <v>127</v>
      </c>
      <c r="O73" s="99">
        <f>_xlfn.STDEV.S(B73,D73,F73,H73)</f>
      </c>
      <c r="P73" s="48"/>
      <c r="Q73" s="48"/>
      <c r="R73" s="48"/>
      <c r="S73" s="48"/>
      <c r="T73" s="48"/>
      <c r="U73" s="48"/>
      <c r="V73" s="48"/>
    </row>
    <row r="74" spans="1:22">
      <c r="A74" s="95" t="s">
        <v>128</v>
      </c>
      <c r="B74" s="96">
        <f>B48</f>
      </c>
      <c r="C74" s="95" t="s">
        <v>128</v>
      </c>
      <c r="D74" s="96">
        <f>D48</f>
      </c>
      <c r="E74" s="95" t="s">
        <v>128</v>
      </c>
      <c r="F74" s="96">
        <f>F48</f>
      </c>
      <c r="G74" s="95" t="s">
        <v>128</v>
      </c>
      <c r="H74" s="96">
        <f>H48</f>
      </c>
      <c r="I74" s="95" t="s">
        <v>128</v>
      </c>
      <c r="J74" s="96">
        <f>SUM(B74,D74,F74,H74)</f>
      </c>
      <c r="K74" s="97"/>
      <c r="L74" s="95" t="s">
        <v>128</v>
      </c>
      <c r="M74" s="97">
        <f>AVERAGE(B74,D74,F74,H74)</f>
      </c>
      <c r="N74" s="95" t="s">
        <v>128</v>
      </c>
      <c r="O74" s="96">
        <f>_xlfn.STDEV.S(B74,D74,F74,H74)</f>
      </c>
      <c r="P74" s="48"/>
      <c r="Q74" s="48"/>
      <c r="R74" s="48"/>
      <c r="S74" s="48"/>
      <c r="T74" s="48"/>
      <c r="U74" s="48"/>
      <c r="V74" s="48"/>
    </row>
    <row r="75" spans="1:22">
      <c r="A75" s="95" t="s">
        <v>130</v>
      </c>
      <c r="B75" s="96">
        <f>B49</f>
      </c>
      <c r="C75" s="95" t="s">
        <v>130</v>
      </c>
      <c r="D75" s="96">
        <f>D49</f>
      </c>
      <c r="E75" s="95" t="s">
        <v>130</v>
      </c>
      <c r="F75" s="96">
        <f>F49</f>
      </c>
      <c r="G75" s="95" t="s">
        <v>130</v>
      </c>
      <c r="H75" s="96">
        <f>H49</f>
      </c>
      <c r="I75" s="95" t="s">
        <v>130</v>
      </c>
      <c r="J75" s="96">
        <f>SUM(B75,D75,F75,H75)</f>
      </c>
      <c r="K75" s="97"/>
      <c r="L75" s="95" t="s">
        <v>130</v>
      </c>
      <c r="M75" s="97">
        <f>AVERAGE(B75,D75,F75,H75)</f>
      </c>
      <c r="N75" s="95" t="s">
        <v>130</v>
      </c>
      <c r="O75" s="96">
        <f>_xlfn.STDEV.S(B75,D75,F75,H75)</f>
      </c>
      <c r="P75" s="48"/>
      <c r="Q75" s="48"/>
      <c r="R75" s="48"/>
      <c r="S75" s="48"/>
      <c r="T75" s="48"/>
      <c r="U75" s="48"/>
      <c r="V75" s="48"/>
    </row>
    <row r="76" spans="1:22">
      <c r="A76" s="95" t="s">
        <v>131</v>
      </c>
      <c r="B76" s="96">
        <f>B50</f>
      </c>
      <c r="C76" s="95" t="s">
        <v>131</v>
      </c>
      <c r="D76" s="96">
        <f>D50</f>
      </c>
      <c r="E76" s="95" t="s">
        <v>131</v>
      </c>
      <c r="F76" s="96">
        <f>F50</f>
      </c>
      <c r="G76" s="95" t="s">
        <v>131</v>
      </c>
      <c r="H76" s="96">
        <f>H50</f>
      </c>
      <c r="I76" s="95" t="s">
        <v>131</v>
      </c>
      <c r="J76" s="96">
        <f>SUM(B76,D76,F76,H76)</f>
      </c>
      <c r="K76" s="97"/>
      <c r="L76" s="95" t="s">
        <v>131</v>
      </c>
      <c r="M76" s="97">
        <f>AVERAGE(B76,D76,F76,H76)</f>
      </c>
      <c r="N76" s="95" t="s">
        <v>131</v>
      </c>
      <c r="O76" s="96">
        <f>_xlfn.STDEV.S(B76,D76,F76,H76)</f>
      </c>
      <c r="P76" s="48"/>
      <c r="Q76" s="48"/>
      <c r="R76" s="48"/>
      <c r="S76" s="48"/>
      <c r="T76" s="48"/>
      <c r="U76" s="48"/>
      <c r="V76" s="48"/>
    </row>
    <row r="77" spans="1:22">
      <c r="A77" s="95" t="s">
        <v>132</v>
      </c>
      <c r="B77" s="96">
        <f>B51</f>
      </c>
      <c r="C77" s="95" t="s">
        <v>132</v>
      </c>
      <c r="D77" s="96">
        <f>D51</f>
      </c>
      <c r="E77" s="95" t="s">
        <v>132</v>
      </c>
      <c r="F77" s="96">
        <f>F51</f>
      </c>
      <c r="G77" s="95" t="s">
        <v>132</v>
      </c>
      <c r="H77" s="96">
        <f>H51</f>
      </c>
      <c r="I77" s="95" t="s">
        <v>132</v>
      </c>
      <c r="J77" s="96">
        <f>SUM(B77,D77,F77,H77)</f>
      </c>
      <c r="K77" s="97"/>
      <c r="L77" s="95" t="s">
        <v>132</v>
      </c>
      <c r="M77" s="97">
        <f>AVERAGE(B77,D77,F77,H77)</f>
      </c>
      <c r="N77" s="95" t="s">
        <v>132</v>
      </c>
      <c r="O77" s="96">
        <f>_xlfn.STDEV.S(B77,D77,F77,H77)</f>
      </c>
      <c r="P77" s="48"/>
      <c r="Q77" s="48"/>
      <c r="R77" s="48"/>
      <c r="S77" s="48"/>
      <c r="T77" s="48"/>
      <c r="U77" s="48"/>
      <c r="V77" s="48"/>
    </row>
    <row r="78" spans="1:22">
      <c r="A78" s="95" t="s">
        <v>133</v>
      </c>
      <c r="B78" s="96">
        <f>B52</f>
      </c>
      <c r="C78" s="95" t="s">
        <v>133</v>
      </c>
      <c r="D78" s="96">
        <f>D52</f>
      </c>
      <c r="E78" s="95" t="s">
        <v>133</v>
      </c>
      <c r="F78" s="96">
        <f>F52</f>
      </c>
      <c r="G78" s="95" t="s">
        <v>133</v>
      </c>
      <c r="H78" s="96">
        <f>H52</f>
      </c>
      <c r="I78" s="95" t="s">
        <v>133</v>
      </c>
      <c r="J78" s="96">
        <f>SUM(B78,D78,F78,H78)</f>
      </c>
      <c r="K78" s="97"/>
      <c r="L78" s="95" t="s">
        <v>133</v>
      </c>
      <c r="M78" s="97">
        <f>AVERAGE(B78,D78,F78,H78)</f>
      </c>
      <c r="N78" s="95" t="s">
        <v>133</v>
      </c>
      <c r="O78" s="96">
        <f>_xlfn.STDEV.S(B78,D78,F78,H78)</f>
      </c>
      <c r="P78" s="48"/>
      <c r="Q78" s="48"/>
      <c r="R78" s="48"/>
      <c r="S78" s="48"/>
      <c r="T78" s="48"/>
      <c r="U78" s="48"/>
      <c r="V78" s="48"/>
    </row>
    <row r="79" spans="1:22">
      <c r="A79" s="95" t="s">
        <v>134</v>
      </c>
      <c r="B79" s="96">
        <f>B53</f>
      </c>
      <c r="C79" s="95" t="s">
        <v>134</v>
      </c>
      <c r="D79" s="96">
        <f>D53</f>
      </c>
      <c r="E79" s="95" t="s">
        <v>134</v>
      </c>
      <c r="F79" s="96">
        <f>F53</f>
      </c>
      <c r="G79" s="95" t="s">
        <v>134</v>
      </c>
      <c r="H79" s="96">
        <f>H53</f>
      </c>
      <c r="I79" s="95" t="s">
        <v>134</v>
      </c>
      <c r="J79" s="96">
        <f>SUM(B79,D79,F79,H79)</f>
      </c>
      <c r="K79" s="97"/>
      <c r="L79" s="95" t="s">
        <v>134</v>
      </c>
      <c r="M79" s="97">
        <f>AVERAGE(B79,D79,F79,H79)</f>
      </c>
      <c r="N79" s="95" t="s">
        <v>134</v>
      </c>
      <c r="O79" s="96">
        <f>_xlfn.STDEV.S(B79,D79,F79,H79)</f>
      </c>
      <c r="P79" s="48"/>
      <c r="Q79" s="48"/>
      <c r="R79" s="48"/>
      <c r="S79" s="48"/>
      <c r="T79" s="48"/>
      <c r="U79" s="48"/>
      <c r="V79" s="48"/>
    </row>
    <row r="80" spans="1:22">
      <c r="A80" s="95" t="s">
        <v>135</v>
      </c>
      <c r="B80" s="96">
        <f>B54</f>
      </c>
      <c r="C80" s="95" t="s">
        <v>135</v>
      </c>
      <c r="D80" s="96">
        <f>D54</f>
      </c>
      <c r="E80" s="95" t="s">
        <v>135</v>
      </c>
      <c r="F80" s="96">
        <f>F54</f>
      </c>
      <c r="G80" s="95" t="s">
        <v>135</v>
      </c>
      <c r="H80" s="96">
        <f>H54</f>
      </c>
      <c r="I80" s="95" t="s">
        <v>135</v>
      </c>
      <c r="J80" s="96">
        <f>SUM(B80,D80,F80,H80)</f>
      </c>
      <c r="K80" s="97"/>
      <c r="L80" s="95" t="s">
        <v>135</v>
      </c>
      <c r="M80" s="97">
        <f>AVERAGE(B80,D80,F80,H80)</f>
      </c>
      <c r="N80" s="95" t="s">
        <v>135</v>
      </c>
      <c r="O80" s="96">
        <f>_xlfn.STDEV.S(B80,D80,F80,H80)</f>
      </c>
      <c r="P80" s="48"/>
      <c r="Q80" s="48"/>
      <c r="R80" s="48"/>
      <c r="S80" s="48"/>
      <c r="T80" s="48"/>
      <c r="U80" s="48"/>
      <c r="V80" s="48"/>
    </row>
    <row r="81" spans="1:79" s="48" customFormat="1">
      <c r="A81" s="95" t="s">
        <v>136</v>
      </c>
      <c r="B81" s="96">
        <f>SUM(B55,B60,B61,B62,B63,B64,B65,B66,B67)</f>
      </c>
      <c r="C81" s="95" t="s">
        <v>136</v>
      </c>
      <c r="D81" s="96">
        <f>SUM(D55,D60:D67)</f>
      </c>
      <c r="E81" s="95" t="s">
        <v>136</v>
      </c>
      <c r="F81" s="96">
        <f>SUM(F55,F60:F67)</f>
      </c>
      <c r="G81" s="95" t="s">
        <v>136</v>
      </c>
      <c r="H81" s="96">
        <f>SUM(H55,H60:H67)</f>
      </c>
      <c r="I81" s="95" t="s">
        <v>136</v>
      </c>
      <c r="J81" s="96">
        <f>SUM(B81,D81,F81,H81)</f>
      </c>
      <c r="K81" s="97"/>
      <c r="L81" s="95" t="s">
        <v>136</v>
      </c>
      <c r="M81" s="97">
        <f>AVERAGE(B81,D81,F81,H81)</f>
      </c>
      <c r="N81" s="95" t="s">
        <v>136</v>
      </c>
      <c r="O81" s="96">
        <f>_xlfn.STDEV.S(B81,D81,F81,H81)</f>
      </c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</row>
    <row r="82" spans="1:79" s="48" customFormat="1" ht="19" thickBot="1">
      <c r="A82" s="100" t="s">
        <v>137</v>
      </c>
      <c r="B82" s="101">
        <f>B56</f>
      </c>
      <c r="C82" s="100" t="s">
        <v>137</v>
      </c>
      <c r="D82" s="101">
        <f>D56</f>
      </c>
      <c r="E82" s="100" t="s">
        <v>137</v>
      </c>
      <c r="F82" s="101">
        <f>F56</f>
      </c>
      <c r="G82" s="100" t="s">
        <v>137</v>
      </c>
      <c r="H82" s="101">
        <f>H56</f>
      </c>
      <c r="I82" s="95" t="s">
        <v>137</v>
      </c>
      <c r="J82" s="96">
        <f>SUM(B82,D82,F82,H82)</f>
      </c>
      <c r="K82" s="97"/>
      <c r="L82" s="100" t="s">
        <v>137</v>
      </c>
      <c r="M82" s="106">
        <f>AVERAGE(B82,D82,F82,H82)</f>
      </c>
      <c r="N82" s="100" t="s">
        <v>137</v>
      </c>
      <c r="O82" s="101">
        <f>_xlfn.STDEV.S(B82,D82,F82,H82)</f>
      </c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</row>
    <row r="83" spans="1:79" s="48" customFormat="1" ht="19" thickBot="1">
      <c r="A83" s="102" t="s">
        <v>242</v>
      </c>
      <c r="B83" s="103">
        <f>SUM(B73:B82)</f>
      </c>
      <c r="C83" s="102" t="s">
        <v>242</v>
      </c>
      <c r="D83" s="103">
        <f>SUM(D73:D82)</f>
      </c>
      <c r="E83" s="102" t="s">
        <v>242</v>
      </c>
      <c r="F83" s="103">
        <f>SUM(F73:F82)</f>
      </c>
      <c r="G83" s="102" t="s">
        <v>242</v>
      </c>
      <c r="H83" s="104">
        <f>SUM(H73:H82)</f>
      </c>
      <c r="I83" s="102"/>
      <c r="J83" s="92">
        <f>SUM(J73:J82)</f>
      </c>
      <c r="K83" s="97"/>
      <c r="L83" s="97"/>
      <c r="M83" s="97"/>
      <c r="N83" s="97"/>
      <c r="O83" s="97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</row>
    <row r="84" spans="1:79" s="48" customFormat="1"/>
    <row r="85" spans="1:79" s="48" customFormat="1" ht="3.75" customHeight="1"/>
    <row r="86" spans="1:79" s="48" customFormat="1"/>
    <row r="87" spans="1:79" s="48" customFormat="1"/>
    <row r="88" spans="1:79" s="48" customFormat="1"/>
    <row r="89" spans="1:79" s="48" customFormat="1"/>
    <row r="90" spans="1:79" s="48" customFormat="1"/>
    <row r="91" spans="1:79" s="48" customFormat="1"/>
    <row r="92" spans="1:79" s="48" customFormat="1"/>
    <row r="93" spans="1:79" s="48" customFormat="1"/>
    <row r="94" spans="1:79" s="48" customFormat="1"/>
    <row r="95" spans="1:79" s="48" customFormat="1"/>
    <row r="96" spans="1:79" s="48" customFormat="1"/>
    <row r="97" s="48" customFormat="1"/>
    <row r="98" s="48" customFormat="1"/>
    <row r="99" s="48" customFormat="1"/>
    <row r="100" s="48" customFormat="1"/>
    <row r="101" s="48" customFormat="1"/>
    <row r="102" s="48" customFormat="1"/>
    <row r="103" s="48" customFormat="1"/>
    <row r="104" s="48" customFormat="1"/>
    <row r="105" s="48" customFormat="1"/>
    <row r="106" s="48" customFormat="1"/>
    <row r="107" s="48" customFormat="1"/>
    <row r="108" s="48" customFormat="1"/>
    <row r="109" s="48" customFormat="1"/>
    <row r="110" s="48" customFormat="1"/>
    <row r="111" s="48" customFormat="1"/>
    <row r="112" s="48" customFormat="1"/>
    <row r="113" s="48" customFormat="1"/>
    <row r="114" s="48" customFormat="1"/>
    <row r="115" s="48" customFormat="1"/>
    <row r="116" s="48" customFormat="1"/>
    <row r="117" s="48" customFormat="1"/>
    <row r="118" s="48" customFormat="1"/>
    <row r="119" s="48" customFormat="1"/>
    <row r="120" s="48" customFormat="1"/>
    <row r="121" s="48" customFormat="1"/>
    <row r="122" s="48" customFormat="1"/>
    <row r="123" s="48" customFormat="1"/>
    <row r="124" s="48" customFormat="1"/>
    <row r="125" s="48" customFormat="1"/>
    <row r="126" s="48" customFormat="1"/>
    <row r="127" s="48" customFormat="1"/>
    <row r="128" s="48" customFormat="1"/>
    <row r="129" s="48" customFormat="1"/>
    <row r="130" s="48" customFormat="1"/>
    <row r="131" s="48" customFormat="1"/>
    <row r="132" s="48" customFormat="1"/>
    <row r="133" s="48" customFormat="1"/>
    <row r="134" s="48" customFormat="1"/>
    <row r="135" s="48" customFormat="1"/>
    <row r="136" s="48" customFormat="1"/>
    <row r="137" s="48" customFormat="1"/>
    <row r="138" s="48" customFormat="1"/>
    <row r="139" s="48" customFormat="1"/>
    <row r="140" s="48" customFormat="1"/>
    <row r="141" s="48" customFormat="1"/>
    <row r="142" s="48" customFormat="1"/>
    <row r="143" s="48" customFormat="1"/>
    <row r="144" s="48" customFormat="1"/>
    <row r="145" s="48" customFormat="1"/>
    <row r="146" s="48" customFormat="1"/>
    <row r="147" s="48" customFormat="1"/>
    <row r="148" s="48" customFormat="1"/>
    <row r="149" s="48" customFormat="1"/>
    <row r="150" s="48" customFormat="1"/>
    <row r="151" s="48" customFormat="1"/>
    <row r="152" s="48" customFormat="1"/>
    <row r="153" s="48" customFormat="1"/>
    <row r="154" s="48" customFormat="1"/>
    <row r="155" s="48" customFormat="1"/>
    <row r="156" s="48" customFormat="1"/>
    <row r="157" s="48" customFormat="1"/>
    <row r="158" s="48" customFormat="1"/>
    <row r="159" s="48" customFormat="1"/>
    <row r="160" s="48" customFormat="1"/>
    <row r="161" s="48" customFormat="1"/>
    <row r="162" s="48" customFormat="1"/>
    <row r="163" s="48" customFormat="1"/>
    <row r="164" s="48" customFormat="1"/>
    <row r="165" s="48" customFormat="1"/>
    <row r="166" s="48" customFormat="1"/>
    <row r="167" s="48" customFormat="1"/>
    <row r="168" s="48" customFormat="1"/>
    <row r="169" s="48" customFormat="1"/>
    <row r="170" s="48" customFormat="1"/>
    <row r="171" s="48" customFormat="1"/>
    <row r="172" s="48" customFormat="1"/>
    <row r="173" s="48" customFormat="1"/>
    <row r="174" s="48" customFormat="1"/>
    <row r="175" s="48" customFormat="1"/>
    <row r="176" s="48" customFormat="1"/>
    <row r="177" s="48" customFormat="1"/>
    <row r="178" s="48" customFormat="1"/>
    <row r="179" s="48" customFormat="1"/>
    <row r="180" s="48" customFormat="1"/>
    <row r="181" s="48" customFormat="1"/>
    <row r="182" s="48" customFormat="1"/>
    <row r="183" s="48" customFormat="1"/>
    <row r="184" s="48" customFormat="1"/>
    <row r="185" s="48" customFormat="1"/>
    <row r="186" s="48" customFormat="1"/>
    <row r="187" s="48" customFormat="1"/>
    <row r="188" s="48" customFormat="1"/>
    <row r="189" s="48" customFormat="1"/>
    <row r="190" s="48" customFormat="1"/>
    <row r="191" s="48" customFormat="1"/>
    <row r="192" s="48" customFormat="1"/>
    <row r="193" spans="1:15" s="48" customFormat="1"/>
    <row r="194" spans="1:15" s="48" customFormat="1"/>
    <row r="195" spans="1:15" s="48" customFormat="1"/>
    <row r="196" spans="1:15" s="48" customFormat="1"/>
    <row r="197" spans="1:15" s="48" customFormat="1"/>
    <row r="198" spans="1:15" s="48" customFormat="1"/>
    <row r="199" spans="1:15" s="48" customFormat="1"/>
    <row r="200" spans="1:15" s="48" customFormat="1"/>
    <row r="201" spans="1:1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O201" s="49"/>
    </row>
    <row r="202" spans="1:1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O202" s="49"/>
    </row>
    <row r="203" spans="1:1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O203" s="49"/>
    </row>
    <row r="204" spans="1:1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O204" s="49"/>
    </row>
    <row r="205" spans="1:1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O205" s="49"/>
    </row>
    <row r="206" spans="1:1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O206" s="49"/>
    </row>
    <row r="207" spans="1:1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O207" s="49"/>
    </row>
    <row r="208" spans="1:1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O208" s="49"/>
    </row>
    <row r="209" spans="1:1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O209" s="49"/>
    </row>
    <row r="210" spans="1:1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O210" s="49"/>
    </row>
    <row r="211" spans="1:1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O211" s="49"/>
    </row>
    <row r="212" spans="1:1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O212" s="49"/>
    </row>
    <row r="213" spans="1:1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O213" s="49"/>
    </row>
    <row r="214" spans="1:1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O214" s="49"/>
    </row>
    <row r="215" spans="1: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O215" s="49"/>
    </row>
    <row r="216" spans="1:1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O216" s="49"/>
    </row>
    <row r="217" spans="1:1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O217" s="49"/>
    </row>
  </sheetData>
  <sheetProtection sheet="1" objects="1" scenarios="1"/>
  <protectedRanges>
    <protectedRange sqref="C3:F4 K1:O2 L4:O6" name="範圍1"/>
    <protectedRange sqref="K41:P41 C42:O42" name="範圍2"/>
    <protectedRange sqref="C2:F2" name="範圍1_2"/>
    <protectedRange sqref="C1:F1" name="範圍1_4"/>
    <protectedRange sqref="L3:O3" name="範圍1_5"/>
  </protectedRanges>
  <mergeCells count="66">
    <mergeCell ref="K39:L39"/>
    <mergeCell ref="M39:N39"/>
    <mergeCell ref="O39:P39"/>
    <mergeCell ref="A37:B37"/>
    <mergeCell ref="A38:B38"/>
    <mergeCell ref="A39:B39"/>
    <mergeCell ref="G39:H39"/>
    <mergeCell ref="I39:J39"/>
    <mergeCell ref="A36:B36"/>
    <mergeCell ref="K38:L38"/>
    <mergeCell ref="I37:J37"/>
    <mergeCell ref="I38:J38"/>
    <mergeCell ref="K37:L37"/>
    <mergeCell ref="G36:H36"/>
    <mergeCell ref="I36:J36"/>
    <mergeCell ref="G37:H37"/>
    <mergeCell ref="G38:H38"/>
    <mergeCell ref="K36:L36"/>
    <mergeCell ref="C4:F4"/>
    <mergeCell ref="L4:O4"/>
    <mergeCell ref="A5:B5"/>
    <mergeCell ref="C5:F5"/>
    <mergeCell ref="C7:F7"/>
    <mergeCell ref="A7:B7"/>
    <mergeCell ref="A8:B8"/>
    <mergeCell ref="C8:F8"/>
    <mergeCell ref="H7:K7"/>
    <mergeCell ref="A1:B1"/>
    <mergeCell ref="C1:F1"/>
    <mergeCell ref="K1:O1"/>
    <mergeCell ref="A2:B2"/>
    <mergeCell ref="C2:F2"/>
    <mergeCell ref="K2:O2"/>
    <mergeCell ref="H1:J1"/>
    <mergeCell ref="H2:J2"/>
    <mergeCell ref="L7:O7"/>
    <mergeCell ref="L5:O5"/>
    <mergeCell ref="A3:B3"/>
    <mergeCell ref="C3:F3"/>
    <mergeCell ref="A4:B4"/>
    <mergeCell ref="A41:H41"/>
    <mergeCell ref="I41:K41"/>
    <mergeCell ref="L41:P41"/>
    <mergeCell ref="H3:J3"/>
    <mergeCell ref="H4:K4"/>
    <mergeCell ref="H5:K5"/>
    <mergeCell ref="A13:D13"/>
    <mergeCell ref="E13:H13"/>
    <mergeCell ref="I13:L13"/>
    <mergeCell ref="M13:P13"/>
    <mergeCell ref="H6:K6"/>
    <mergeCell ref="L6:O6"/>
    <mergeCell ref="C6:F6"/>
    <mergeCell ref="A6:B6"/>
    <mergeCell ref="L3:M3"/>
    <mergeCell ref="N3:O3"/>
    <mergeCell ref="K43:L43"/>
    <mergeCell ref="M43:N43"/>
    <mergeCell ref="O43:P43"/>
    <mergeCell ref="A42:B42"/>
    <mergeCell ref="C42:P42"/>
    <mergeCell ref="A43:B43"/>
    <mergeCell ref="C43:D43"/>
    <mergeCell ref="E43:F43"/>
    <mergeCell ref="G43:H43"/>
    <mergeCell ref="I43:J43"/>
  </mergeCells>
  <phoneticPr fontId="23" type="noConversion"/>
  <dataValidations count="3">
    <dataValidation type="list" allowBlank="1" showInputMessage="1" showErrorMessage="1" errorTitle="請使用下拉選單" sqref="C8:F8" xr:uid="{A2281906-4779-284C-8163-7C7187C9F462}">
      <formula1>"晴朗(Sunny),多雲 (Partly Cloudy),陰(Cloudy),雨(Raining)"</formula1>
    </dataValidation>
    <dataValidation type="list" allowBlank="1" showInputMessage="1" showErrorMessage="1" errorTitle="請使用下拉選單" sqref="C5:F5" xr:uid="{F5E3E173-7B4F-8E4A-924D-0972DAF0FBA0}">
      <formula1>"是, 否"</formula1>
    </dataValidation>
    <dataValidation type="list" allowBlank="1" showInputMessage="1" showErrorMessage="1" errorTitle="請使用下拉清單" sqref="I41:K41" xr:uid="{9B14AAD5-0A4A-5D44-9FA0-25CFACE3E1DE}">
      <formula1>"-,白化(Bleaching),棘冠海星(COTS),颱風(Storm),其他(Other)原因填右側"</formula1>
    </dataValidation>
  </dataValidations>
  <printOptions gridLines="1" gridLinesSet="0"/>
  <pageMargins left="0.77" right="0.79" top="1.17" bottom="1.02" header="0.61" footer="0.69"/>
  <pageSetup paperSize="9" scale="85" orientation="portrait" horizontalDpi="4294967294" verticalDpi="4294967294"/>
  <headerFooter alignWithMargins="0">
    <oddHeader xml:space="preserve">&amp;C&amp;"Arial,Bold"Reef Check Line Transect
Substrate&amp;"Arial,Regular" </oddHeader>
    <oddFooter>&amp;C&amp;"Arial,Bold"Indo-Pacific 2006</oddFooter>
  </headerFooter>
  <ignoredErrors>
    <ignoredError sqref="B81 D81 F81 H81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請使用下拉選單" xr:uid="{7080FF07-F1E0-F84F-8FC1-C25220A6C3BE}">
          <x14:formula1>
            <xm:f>siteName!$A$2:$A$42</xm:f>
          </x14:formula1>
          <xm:sqref>C1:F1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9D88-A43A-3749-A73C-C76A8CF63E3B}">
  <sheetPr codeName="工作表2"/>
  <dimension ref="A1:Q74"/>
  <sheetViews>
    <sheetView topLeftCell="A7" workbookViewId="0">
      <selection activeCell="C16" sqref="C16"/>
    </sheetView>
  </sheetViews>
  <sheetFormatPr baseColWidth="10" defaultColWidth="8.83203125" defaultRowHeight="13"/>
  <cols>
    <col min="1" max="16384" width="8.83203125" style="1"/>
  </cols>
  <sheetData>
    <row r="1" spans="1:17" s="5" customFormat="1" ht="32" customHeight="1">
      <c r="A1" s="17"/>
      <c r="B1" s="17"/>
      <c r="C1" s="17"/>
      <c r="D1" s="18"/>
      <c r="E1" s="171" t="s">
        <v>120</v>
      </c>
      <c r="F1" s="172"/>
      <c r="G1" s="172"/>
      <c r="H1" s="172"/>
      <c r="I1" s="172"/>
      <c r="J1" s="172"/>
      <c r="K1" s="173"/>
      <c r="L1" s="18"/>
    </row>
    <row r="2" spans="1:17" s="5" customFormat="1" ht="36" customHeight="1" thickBot="1">
      <c r="A2" s="174" t="s">
        <v>121</v>
      </c>
      <c r="B2" s="175"/>
      <c r="C2" s="175"/>
      <c r="D2" s="18"/>
      <c r="E2" s="176" t="s">
        <v>122</v>
      </c>
      <c r="F2" s="177"/>
      <c r="G2" s="177"/>
      <c r="H2" s="177"/>
      <c r="I2" s="177"/>
      <c r="J2" s="177"/>
      <c r="K2" s="178"/>
      <c r="L2" s="20"/>
    </row>
    <row r="3" spans="1:17" s="5" customFormat="1" ht="36" customHeight="1" thickBot="1">
      <c r="A3" s="19" t="s">
        <v>123</v>
      </c>
      <c r="B3" s="17"/>
      <c r="C3" s="17"/>
      <c r="D3" s="18"/>
      <c r="E3" s="174" t="s">
        <v>124</v>
      </c>
      <c r="F3" s="179"/>
      <c r="G3" s="179"/>
      <c r="H3" s="179"/>
      <c r="I3" s="179"/>
      <c r="J3" s="179"/>
      <c r="K3" s="179"/>
      <c r="L3" s="20"/>
    </row>
    <row r="4" spans="1:17" ht="15" thickBot="1">
      <c r="A4" s="3"/>
      <c r="B4" s="13" t="s">
        <v>125</v>
      </c>
      <c r="C4" s="14" t="s">
        <v>126</v>
      </c>
      <c r="D4" s="25"/>
      <c r="E4" s="25"/>
      <c r="F4" s="25"/>
      <c r="G4" s="25"/>
      <c r="H4" s="25"/>
      <c r="I4" s="25"/>
      <c r="J4" s="25"/>
      <c r="K4" s="25"/>
      <c r="L4" s="25"/>
    </row>
    <row r="5" spans="1:17" ht="18">
      <c r="A5" s="8" t="s">
        <v>127</v>
      </c>
      <c r="B5" s="7">
        <f>(DATA!J73/160)*100</f>
      </c>
      <c r="C5" s="4">
        <f>(SUM(DATA!O73/SQRT(4)))/40*100</f>
      </c>
      <c r="D5" s="25"/>
      <c r="E5" s="180"/>
      <c r="F5" s="181"/>
      <c r="G5" s="181"/>
      <c r="H5" s="181"/>
      <c r="I5" s="181"/>
      <c r="J5" s="181"/>
      <c r="K5" s="181"/>
      <c r="L5" s="37"/>
      <c r="M5" s="38"/>
      <c r="N5" s="38"/>
      <c r="O5" s="38"/>
      <c r="P5" s="38"/>
      <c r="Q5" s="39"/>
    </row>
    <row r="6" spans="1:17" ht="16">
      <c r="A6" s="7" t="s">
        <v>128</v>
      </c>
      <c r="B6" s="7">
        <f>(DATA!J74/160)*100</f>
      </c>
      <c r="C6" s="4">
        <f>(SUM(DATA!O74/SQRT(4)))/40*100</f>
      </c>
      <c r="D6" s="25"/>
      <c r="E6" s="182" t="s">
        <v>129</v>
      </c>
      <c r="F6" s="183"/>
      <c r="G6" s="183"/>
      <c r="H6" s="183"/>
      <c r="I6" s="183"/>
      <c r="J6" s="183"/>
      <c r="K6" s="183"/>
      <c r="L6" s="25"/>
      <c r="Q6" s="40"/>
    </row>
    <row r="7" spans="1:17" ht="14">
      <c r="A7" s="7" t="s">
        <v>130</v>
      </c>
      <c r="B7" s="7">
        <f>(DATA!J75/160)*100</f>
      </c>
      <c r="C7" s="4">
        <f>(SUM(DATA!O75/SQRT(4)))/40*100</f>
      </c>
      <c r="D7" s="25"/>
      <c r="E7" s="28"/>
      <c r="F7" s="25"/>
      <c r="G7" s="25"/>
      <c r="H7" s="25"/>
      <c r="I7" s="25"/>
      <c r="J7" s="25"/>
      <c r="K7" s="25"/>
      <c r="L7" s="25"/>
      <c r="Q7" s="40"/>
    </row>
    <row r="8" spans="1:17" ht="14">
      <c r="A8" s="8" t="s">
        <v>131</v>
      </c>
      <c r="B8" s="7">
        <f>(DATA!J76/160)*100</f>
      </c>
      <c r="C8" s="4">
        <f>(SUM(DATA!O76/SQRT(4)))/40*100</f>
      </c>
      <c r="D8" s="25"/>
      <c r="E8" s="28"/>
      <c r="F8" s="25"/>
      <c r="G8" s="25"/>
      <c r="H8" s="25"/>
      <c r="I8" s="25"/>
      <c r="J8" s="25"/>
      <c r="K8" s="25"/>
      <c r="L8" s="25"/>
      <c r="Q8" s="40"/>
    </row>
    <row r="9" spans="1:17" ht="14">
      <c r="A9" s="8" t="s">
        <v>132</v>
      </c>
      <c r="B9" s="7">
        <f>(DATA!J77/160)*100</f>
      </c>
      <c r="C9" s="4">
        <f>(SUM(DATA!O77/SQRT(4)))/40*100</f>
      </c>
      <c r="D9" s="25"/>
      <c r="E9" s="28"/>
      <c r="F9" s="25"/>
      <c r="G9" s="25"/>
      <c r="H9" s="25"/>
      <c r="I9" s="25"/>
      <c r="J9" s="25"/>
      <c r="K9" s="25"/>
      <c r="L9" s="25"/>
      <c r="Q9" s="40"/>
    </row>
    <row r="10" spans="1:17" ht="14">
      <c r="A10" s="8" t="s">
        <v>133</v>
      </c>
      <c r="B10" s="7">
        <f>(DATA!J78/160)*100</f>
      </c>
      <c r="C10" s="4">
        <f>(SUM(DATA!O78/SQRT(4)))/40*100</f>
      </c>
      <c r="D10" s="25"/>
      <c r="E10" s="28"/>
      <c r="F10" s="25"/>
      <c r="G10" s="25"/>
      <c r="H10" s="25"/>
      <c r="I10" s="25"/>
      <c r="J10" s="25"/>
      <c r="K10" s="25"/>
      <c r="L10" s="25"/>
      <c r="Q10" s="40"/>
    </row>
    <row r="11" spans="1:17" ht="14">
      <c r="A11" s="8" t="s">
        <v>134</v>
      </c>
      <c r="B11" s="7">
        <f>(DATA!J79/160)*100</f>
      </c>
      <c r="C11" s="4">
        <f>(SUM(DATA!O79/SQRT(4)))/40*100</f>
      </c>
      <c r="D11" s="25"/>
      <c r="E11" s="28"/>
      <c r="F11" s="25"/>
      <c r="G11" s="25"/>
      <c r="H11" s="25"/>
      <c r="I11" s="25"/>
      <c r="J11" s="25"/>
      <c r="K11" s="25"/>
      <c r="L11" s="25"/>
      <c r="Q11" s="40"/>
    </row>
    <row r="12" spans="1:17" ht="14">
      <c r="A12" s="7" t="s">
        <v>135</v>
      </c>
      <c r="B12" s="7">
        <f>(DATA!J80/160)*100</f>
      </c>
      <c r="C12" s="4">
        <f>(SUM(DATA!O80/SQRT(4)))/40*100</f>
      </c>
      <c r="D12" s="25"/>
      <c r="E12" s="28"/>
      <c r="F12" s="25"/>
      <c r="G12" s="25"/>
      <c r="H12" s="25"/>
      <c r="I12" s="25"/>
      <c r="J12" s="25"/>
      <c r="K12" s="25"/>
      <c r="L12" s="25"/>
      <c r="Q12" s="40"/>
    </row>
    <row r="13" spans="1:17" ht="14">
      <c r="A13" s="8" t="s">
        <v>136</v>
      </c>
      <c r="B13" s="7">
        <f>(DATA!J81/160)*100</f>
      </c>
      <c r="C13" s="4">
        <f>(SUM(DATA!O81/SQRT(4)))/40*100</f>
      </c>
      <c r="D13" s="25"/>
      <c r="E13" s="28"/>
      <c r="F13" s="25"/>
      <c r="G13" s="25"/>
      <c r="H13" s="25"/>
      <c r="I13" s="25"/>
      <c r="J13" s="25"/>
      <c r="K13" s="25"/>
      <c r="L13" s="25"/>
      <c r="Q13" s="40"/>
    </row>
    <row r="14" spans="1:17" ht="15" thickBot="1">
      <c r="A14" s="9" t="s">
        <v>137</v>
      </c>
      <c r="B14" s="10">
        <f>(DATA!J82/160)*100</f>
      </c>
      <c r="C14" s="10">
        <f>(SUM(DATA!O82/SQRT(4)))/40*100</f>
      </c>
      <c r="D14" s="25"/>
      <c r="E14" s="28"/>
      <c r="F14" s="25"/>
      <c r="G14" s="25"/>
      <c r="H14" s="25"/>
      <c r="I14" s="25"/>
      <c r="J14" s="25"/>
      <c r="K14" s="25"/>
      <c r="L14" s="25"/>
      <c r="Q14" s="40"/>
    </row>
    <row r="15" spans="1:17" ht="15" thickBot="1">
      <c r="A15" s="6"/>
      <c r="B15" s="6"/>
      <c r="C15" s="25"/>
      <c r="D15" s="25"/>
      <c r="E15" s="28"/>
      <c r="F15" s="25"/>
      <c r="G15" s="25"/>
      <c r="H15" s="25"/>
      <c r="I15" s="25"/>
      <c r="J15" s="25"/>
      <c r="K15" s="25"/>
      <c r="L15" s="25"/>
      <c r="Q15" s="40"/>
    </row>
    <row r="16" spans="1:17" s="5" customFormat="1" ht="46" thickBot="1">
      <c r="A16" s="11" t="s">
        <v>138</v>
      </c>
      <c r="B16" s="12">
        <f>SUM(B5:B14)</f>
      </c>
      <c r="C16" s="25"/>
      <c r="D16" s="25"/>
      <c r="E16" s="28"/>
      <c r="F16" s="25"/>
      <c r="G16" s="25"/>
      <c r="H16" s="25"/>
      <c r="I16" s="25"/>
      <c r="J16" s="25"/>
      <c r="K16" s="25"/>
      <c r="L16" s="25"/>
      <c r="Q16" s="41"/>
    </row>
    <row r="17" spans="1:17">
      <c r="A17" s="25"/>
      <c r="B17" s="25"/>
      <c r="C17" s="25"/>
      <c r="D17" s="25"/>
      <c r="E17" s="28"/>
      <c r="F17" s="25"/>
      <c r="G17" s="25"/>
      <c r="H17" s="25"/>
      <c r="I17" s="25"/>
      <c r="J17" s="25"/>
      <c r="K17" s="25"/>
      <c r="Q17" s="40"/>
    </row>
    <row r="18" spans="1:17" s="5" customFormat="1" ht="14" thickBot="1">
      <c r="A18" s="25"/>
      <c r="B18" s="25"/>
      <c r="C18" s="25"/>
      <c r="D18" s="25"/>
      <c r="E18" s="28"/>
      <c r="F18" s="25"/>
      <c r="G18" s="25"/>
      <c r="H18" s="25"/>
      <c r="I18" s="25"/>
      <c r="J18" s="25"/>
      <c r="K18" s="25"/>
      <c r="Q18" s="41"/>
    </row>
    <row r="19" spans="1:17" ht="31" thickBot="1">
      <c r="A19" s="15" t="s">
        <v>139</v>
      </c>
      <c r="B19" s="13" t="s">
        <v>125</v>
      </c>
      <c r="C19" s="13" t="s">
        <v>126</v>
      </c>
      <c r="D19" s="25"/>
      <c r="E19" s="28"/>
      <c r="F19" s="25"/>
      <c r="G19" s="25"/>
      <c r="H19" s="25"/>
      <c r="I19" s="25"/>
      <c r="J19" s="25"/>
      <c r="K19" s="25"/>
      <c r="Q19" s="40"/>
    </row>
    <row r="20" spans="1:17" ht="14">
      <c r="A20" s="8" t="s">
        <v>127</v>
      </c>
      <c r="B20" s="7">
        <f>B5</f>
      </c>
      <c r="C20" s="7">
        <f>C5</f>
      </c>
      <c r="D20" s="25"/>
      <c r="E20" s="28"/>
      <c r="F20" s="25"/>
      <c r="G20" s="25"/>
      <c r="H20" s="25"/>
      <c r="I20" s="25"/>
      <c r="J20" s="25"/>
      <c r="K20" s="25"/>
      <c r="Q20" s="40"/>
    </row>
    <row r="21" spans="1:17" ht="14">
      <c r="A21" s="7" t="s">
        <v>128</v>
      </c>
      <c r="B21" s="7">
        <f>B6</f>
      </c>
      <c r="C21" s="7">
        <f>C6</f>
      </c>
      <c r="D21" s="25"/>
      <c r="E21" s="28"/>
      <c r="F21" s="25"/>
      <c r="G21" s="25"/>
      <c r="H21" s="25"/>
      <c r="I21" s="25"/>
      <c r="J21" s="25"/>
      <c r="K21" s="25"/>
      <c r="Q21" s="40"/>
    </row>
    <row r="22" spans="1:17" ht="14">
      <c r="A22" s="7" t="s">
        <v>131</v>
      </c>
      <c r="B22" s="7">
        <f>B8</f>
      </c>
      <c r="C22" s="7">
        <f>C8</f>
      </c>
      <c r="D22" s="25"/>
      <c r="E22" s="28"/>
      <c r="F22" s="25"/>
      <c r="G22" s="25"/>
      <c r="H22" s="25"/>
      <c r="I22" s="25"/>
      <c r="J22" s="25"/>
      <c r="K22" s="25"/>
      <c r="Q22" s="40"/>
    </row>
    <row r="23" spans="1:17" ht="14">
      <c r="A23" s="7" t="s">
        <v>132</v>
      </c>
      <c r="B23" s="7">
        <f>B9</f>
      </c>
      <c r="C23" s="7">
        <f>C9</f>
      </c>
      <c r="D23" s="25"/>
      <c r="E23" s="28"/>
      <c r="F23" s="25"/>
      <c r="G23" s="25"/>
      <c r="H23" s="25"/>
      <c r="I23" s="25"/>
      <c r="J23" s="25"/>
      <c r="K23" s="25"/>
      <c r="Q23" s="40"/>
    </row>
    <row r="24" spans="1:17" ht="15" thickBot="1">
      <c r="A24" s="10" t="s">
        <v>137</v>
      </c>
      <c r="B24" s="10">
        <f>B14</f>
      </c>
      <c r="C24" s="10">
        <f>C14</f>
      </c>
      <c r="D24" s="25"/>
      <c r="E24" s="28"/>
      <c r="F24" s="25"/>
      <c r="G24" s="25"/>
      <c r="H24" s="25"/>
      <c r="I24" s="25"/>
      <c r="J24" s="25"/>
      <c r="K24" s="25"/>
      <c r="Q24" s="40"/>
    </row>
    <row r="25" spans="1:17">
      <c r="E25" s="115"/>
      <c r="Q25" s="40"/>
    </row>
    <row r="26" spans="1:17">
      <c r="E26" s="115"/>
      <c r="Q26" s="40"/>
    </row>
    <row r="27" spans="1:17" ht="15" thickBot="1">
      <c r="A27" s="2"/>
      <c r="B27" s="2"/>
      <c r="C27" s="2"/>
      <c r="D27" s="25"/>
      <c r="E27" s="28"/>
      <c r="F27" s="25"/>
      <c r="G27" s="25"/>
      <c r="H27" s="25"/>
      <c r="I27" s="25"/>
      <c r="J27" s="25"/>
      <c r="K27" s="25"/>
      <c r="Q27" s="40"/>
    </row>
    <row r="28" spans="1:17" ht="61" thickBot="1">
      <c r="A28" s="15" t="s">
        <v>140</v>
      </c>
      <c r="B28" s="13" t="s">
        <v>125</v>
      </c>
      <c r="C28" s="14" t="s">
        <v>126</v>
      </c>
      <c r="D28" s="25"/>
      <c r="E28" s="28"/>
      <c r="F28" s="25"/>
      <c r="G28" s="25"/>
      <c r="H28" s="25"/>
      <c r="I28" s="25"/>
      <c r="J28" s="25"/>
      <c r="K28" s="25"/>
      <c r="Q28" s="40"/>
    </row>
    <row r="29" spans="1:17" ht="14">
      <c r="A29" s="7" t="s">
        <v>130</v>
      </c>
      <c r="B29" s="7">
        <f>B7</f>
      </c>
      <c r="C29" s="4">
        <f>C7</f>
      </c>
      <c r="D29" s="25"/>
      <c r="E29" s="28"/>
      <c r="F29" s="25"/>
      <c r="G29" s="25"/>
      <c r="H29" s="25"/>
      <c r="I29" s="25"/>
      <c r="J29" s="25"/>
      <c r="K29" s="25"/>
      <c r="Q29" s="40"/>
    </row>
    <row r="30" spans="1:17" ht="14">
      <c r="A30" s="7" t="s">
        <v>133</v>
      </c>
      <c r="B30" s="7">
        <f>B10</f>
      </c>
      <c r="C30" s="4">
        <f>C10</f>
      </c>
      <c r="D30" s="25"/>
      <c r="E30" s="28"/>
      <c r="F30" s="25"/>
      <c r="G30" s="25"/>
      <c r="H30" s="25"/>
      <c r="I30" s="25"/>
      <c r="J30" s="25"/>
      <c r="K30" s="25"/>
      <c r="Q30" s="40"/>
    </row>
    <row r="31" spans="1:17" ht="14">
      <c r="A31" s="7" t="s">
        <v>134</v>
      </c>
      <c r="B31" s="7">
        <f>B11</f>
      </c>
      <c r="C31" s="4">
        <f>C11</f>
      </c>
      <c r="D31" s="25"/>
      <c r="E31" s="28"/>
      <c r="F31" s="25"/>
      <c r="G31" s="25"/>
      <c r="H31" s="25"/>
      <c r="I31" s="25"/>
      <c r="J31" s="25"/>
      <c r="K31" s="25"/>
      <c r="Q31" s="40"/>
    </row>
    <row r="32" spans="1:17" ht="14">
      <c r="A32" s="7" t="s">
        <v>135</v>
      </c>
      <c r="B32" s="7">
        <f>B12</f>
      </c>
      <c r="C32" s="4">
        <f>C12</f>
      </c>
      <c r="D32" s="25"/>
      <c r="E32" s="28"/>
      <c r="F32" s="25"/>
      <c r="G32" s="25"/>
      <c r="H32" s="25"/>
      <c r="I32" s="25"/>
      <c r="J32" s="25"/>
      <c r="K32" s="25"/>
      <c r="Q32" s="40"/>
    </row>
    <row r="33" spans="1:17" ht="15" thickBot="1">
      <c r="A33" s="10" t="s">
        <v>136</v>
      </c>
      <c r="B33" s="10">
        <f>B13</f>
      </c>
      <c r="C33" s="36">
        <f>C13</f>
      </c>
      <c r="D33" s="25"/>
      <c r="E33" s="28"/>
      <c r="F33" s="25"/>
      <c r="G33" s="25"/>
      <c r="H33" s="25"/>
      <c r="I33" s="25"/>
      <c r="J33" s="25"/>
      <c r="K33" s="25"/>
      <c r="Q33" s="40"/>
    </row>
    <row r="34" spans="1:17">
      <c r="A34" s="25"/>
      <c r="B34" s="25"/>
      <c r="C34" s="25"/>
      <c r="D34" s="25"/>
      <c r="E34" s="28"/>
      <c r="F34" s="25"/>
      <c r="G34" s="25"/>
      <c r="H34" s="25"/>
      <c r="I34" s="25"/>
      <c r="J34" s="25"/>
      <c r="K34" s="25"/>
      <c r="Q34" s="40"/>
    </row>
    <row r="35" spans="1:17">
      <c r="A35" s="25"/>
      <c r="B35" s="25"/>
      <c r="C35" s="25"/>
      <c r="D35" s="25"/>
      <c r="E35" s="28"/>
      <c r="F35" s="25"/>
      <c r="G35" s="25"/>
      <c r="H35" s="25"/>
      <c r="I35" s="25"/>
      <c r="J35" s="25"/>
      <c r="K35" s="25"/>
      <c r="Q35" s="40"/>
    </row>
    <row r="36" spans="1:17">
      <c r="A36" s="25"/>
      <c r="B36" s="25"/>
      <c r="C36" s="25"/>
      <c r="D36" s="25"/>
      <c r="E36" s="28"/>
      <c r="F36" s="25"/>
      <c r="G36" s="25"/>
      <c r="H36" s="25"/>
      <c r="I36" s="25"/>
      <c r="J36" s="25"/>
      <c r="K36" s="25"/>
      <c r="Q36" s="40"/>
    </row>
    <row r="37" spans="1:17">
      <c r="A37" s="170"/>
      <c r="B37" s="170"/>
      <c r="C37" s="170"/>
      <c r="D37" s="25"/>
      <c r="E37" s="28"/>
      <c r="F37" s="25"/>
      <c r="G37" s="25"/>
      <c r="H37" s="25"/>
      <c r="I37" s="25"/>
      <c r="J37" s="25"/>
      <c r="K37" s="25"/>
      <c r="Q37" s="40"/>
    </row>
    <row r="38" spans="1:17" ht="31" customHeight="1">
      <c r="A38" s="122"/>
      <c r="B38" s="122" t="s">
        <v>141</v>
      </c>
      <c r="C38" s="122" t="s">
        <v>142</v>
      </c>
      <c r="D38" s="26"/>
      <c r="E38" s="28"/>
      <c r="F38" s="25"/>
      <c r="G38" s="25"/>
      <c r="H38" s="25"/>
      <c r="I38" s="25"/>
      <c r="J38" s="25"/>
      <c r="K38" s="25"/>
      <c r="Q38" s="40"/>
    </row>
    <row r="39" spans="1:17" ht="17">
      <c r="A39" s="122" t="s">
        <v>143</v>
      </c>
      <c r="B39" s="123">
        <f>(DATA!R42-DATA!G37)/DATA!R42</f>
      </c>
      <c r="C39" s="124">
        <f>DATA!G37/DATA!R42</f>
      </c>
      <c r="D39" s="16"/>
      <c r="E39" s="28"/>
      <c r="F39" s="25"/>
      <c r="G39" s="25"/>
      <c r="H39" s="25"/>
      <c r="I39" s="25"/>
      <c r="J39" s="25"/>
      <c r="K39" s="25"/>
      <c r="Q39" s="40"/>
    </row>
    <row r="40" spans="1:17" ht="22" customHeight="1">
      <c r="A40" s="125" t="s">
        <v>144</v>
      </c>
      <c r="B40" s="122">
        <f>(DATA!R43-DATA!G38)/DATA!R43</f>
      </c>
      <c r="C40" s="123">
        <f>DATA!G38/DATA!R43</f>
      </c>
      <c r="D40" s="44"/>
      <c r="E40" s="28"/>
      <c r="F40" s="25"/>
      <c r="G40" s="25"/>
      <c r="H40" s="25"/>
      <c r="I40" s="25"/>
      <c r="J40" s="25"/>
      <c r="K40" s="25"/>
      <c r="Q40" s="40"/>
    </row>
    <row r="41" spans="1:17" ht="12" customHeight="1">
      <c r="A41" s="120"/>
      <c r="C41" s="117"/>
      <c r="D41" s="25"/>
      <c r="E41" s="28"/>
      <c r="F41" s="25"/>
      <c r="G41" s="25"/>
      <c r="H41" s="25"/>
      <c r="I41" s="25"/>
      <c r="J41" s="25"/>
      <c r="K41" s="25"/>
      <c r="Q41" s="40"/>
    </row>
    <row r="42" spans="1:17" ht="18" customHeight="1">
      <c r="A42" s="119"/>
      <c r="C42" s="118"/>
      <c r="D42" s="25"/>
      <c r="E42" s="28"/>
      <c r="F42" s="25"/>
      <c r="G42" s="25"/>
      <c r="H42" s="25"/>
      <c r="I42" s="25"/>
      <c r="J42" s="25"/>
      <c r="K42" s="25"/>
      <c r="Q42" s="40"/>
    </row>
    <row r="43" spans="1:17" ht="16">
      <c r="A43" s="121"/>
      <c r="B43" s="121"/>
      <c r="C43" s="121"/>
      <c r="D43" s="25"/>
      <c r="E43" s="28"/>
      <c r="F43" s="25"/>
      <c r="G43" s="25"/>
      <c r="H43" s="25"/>
      <c r="I43" s="25"/>
      <c r="J43" s="25"/>
      <c r="K43" s="25"/>
      <c r="Q43" s="40"/>
    </row>
    <row r="44" spans="1:17">
      <c r="A44" s="25"/>
      <c r="B44" s="25"/>
      <c r="C44" s="25"/>
      <c r="D44" s="25"/>
      <c r="E44" s="28"/>
      <c r="F44" s="25"/>
      <c r="G44" s="25"/>
      <c r="H44" s="25"/>
      <c r="I44" s="25"/>
      <c r="J44" s="25"/>
      <c r="K44" s="25"/>
      <c r="Q44" s="40"/>
    </row>
    <row r="45" spans="1:17">
      <c r="A45" s="25"/>
      <c r="B45" s="25"/>
      <c r="C45" s="25"/>
      <c r="D45" s="25"/>
      <c r="E45" s="28"/>
      <c r="F45" s="25"/>
      <c r="G45" s="25"/>
      <c r="H45" s="25"/>
      <c r="I45" s="25"/>
      <c r="J45" s="25"/>
      <c r="K45" s="25"/>
      <c r="Q45" s="40"/>
    </row>
    <row r="46" spans="1:17">
      <c r="A46" s="25"/>
      <c r="B46" s="25"/>
      <c r="C46" s="25"/>
      <c r="D46" s="25"/>
      <c r="E46" s="28"/>
      <c r="F46" s="25"/>
      <c r="G46" s="25"/>
      <c r="H46" s="25"/>
      <c r="I46" s="25"/>
      <c r="J46" s="25"/>
      <c r="K46" s="25"/>
      <c r="Q46" s="40"/>
    </row>
    <row r="47" spans="1:17">
      <c r="A47" s="25"/>
      <c r="B47" s="25"/>
      <c r="C47" s="25"/>
      <c r="D47" s="25"/>
      <c r="E47" s="28"/>
      <c r="F47" s="25"/>
      <c r="G47" s="25"/>
      <c r="H47" s="25"/>
      <c r="I47" s="25"/>
      <c r="J47" s="25"/>
      <c r="K47" s="25"/>
      <c r="Q47" s="40"/>
    </row>
    <row r="48" spans="1:17">
      <c r="E48" s="115"/>
      <c r="Q48" s="40"/>
    </row>
    <row r="49" spans="5:17">
      <c r="E49" s="115"/>
      <c r="Q49" s="40"/>
    </row>
    <row r="50" spans="5:17">
      <c r="E50" s="115"/>
      <c r="Q50" s="40"/>
    </row>
    <row r="51" spans="5:17">
      <c r="E51" s="115"/>
      <c r="Q51" s="40"/>
    </row>
    <row r="52" spans="5:17">
      <c r="E52" s="115"/>
      <c r="Q52" s="40"/>
    </row>
    <row r="53" spans="5:17">
      <c r="E53" s="115"/>
      <c r="Q53" s="40"/>
    </row>
    <row r="54" spans="5:17">
      <c r="E54" s="115"/>
      <c r="Q54" s="40"/>
    </row>
    <row r="55" spans="5:17">
      <c r="E55" s="115"/>
      <c r="Q55" s="40"/>
    </row>
    <row r="56" spans="5:17">
      <c r="E56" s="115"/>
      <c r="Q56" s="40"/>
    </row>
    <row r="57" spans="5:17">
      <c r="E57" s="115"/>
      <c r="Q57" s="40"/>
    </row>
    <row r="58" spans="5:17">
      <c r="E58" s="115"/>
      <c r="Q58" s="40"/>
    </row>
    <row r="59" spans="5:17">
      <c r="E59" s="115"/>
      <c r="Q59" s="40"/>
    </row>
    <row r="60" spans="5:17">
      <c r="E60" s="115"/>
      <c r="Q60" s="40"/>
    </row>
    <row r="61" spans="5:17">
      <c r="E61" s="115"/>
      <c r="Q61" s="40"/>
    </row>
    <row r="62" spans="5:17">
      <c r="E62" s="115"/>
      <c r="Q62" s="40"/>
    </row>
    <row r="63" spans="5:17">
      <c r="E63" s="115"/>
      <c r="Q63" s="40"/>
    </row>
    <row r="64" spans="5:17">
      <c r="E64" s="115"/>
      <c r="Q64" s="40"/>
    </row>
    <row r="65" spans="5:17">
      <c r="E65" s="115"/>
      <c r="Q65" s="40"/>
    </row>
    <row r="66" spans="5:17">
      <c r="E66" s="115"/>
      <c r="Q66" s="40"/>
    </row>
    <row r="67" spans="5:17">
      <c r="E67" s="115"/>
      <c r="Q67" s="40"/>
    </row>
    <row r="68" spans="5:17">
      <c r="E68" s="115"/>
      <c r="Q68" s="40"/>
    </row>
    <row r="69" spans="5:17">
      <c r="E69" s="115"/>
      <c r="Q69" s="40"/>
    </row>
    <row r="70" spans="5:17">
      <c r="E70" s="115"/>
      <c r="Q70" s="40"/>
    </row>
    <row r="71" spans="5:17">
      <c r="E71" s="115"/>
      <c r="Q71" s="40"/>
    </row>
    <row r="72" spans="5:17">
      <c r="E72" s="115"/>
      <c r="Q72" s="40"/>
    </row>
    <row r="73" spans="5:17">
      <c r="E73" s="115"/>
      <c r="Q73" s="40"/>
    </row>
    <row r="74" spans="5:17" ht="14" thickBot="1">
      <c r="E74" s="116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3"/>
    </row>
  </sheetData>
  <sheetProtection sheet="1" objects="1" scenarios="1"/>
  <mergeCells count="7">
    <mergeCell ref="A37:C37"/>
    <mergeCell ref="E1:K1"/>
    <mergeCell ref="A2:C2"/>
    <mergeCell ref="E2:K2"/>
    <mergeCell ref="E3:K3"/>
    <mergeCell ref="E5:K5"/>
    <mergeCell ref="E6:K6"/>
  </mergeCells>
  <phoneticPr fontId="23" type="noConversion"/>
  <pageMargins left="0.74803149606299213" right="0.74803149606299213" top="0.98425196850393704" bottom="0.98425196850393704" header="0.51181102362204722" footer="0.51181102362204722"/>
  <pageSetup paperSize="9" orientation="portrait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DF4A-AFB2-A24F-88A6-54FF4F42E849}">
  <sheetPr codeName="工作表3"/>
  <dimension ref="A1:Q62"/>
  <sheetViews>
    <sheetView tabSelected="1" workbookViewId="0">
      <selection activeCell="C31" sqref="C31:C33"/>
    </sheetView>
  </sheetViews>
  <sheetFormatPr baseColWidth="10" defaultColWidth="8.83203125" defaultRowHeight="13"/>
  <cols>
    <col min="1" max="16384" width="8.83203125" style="1"/>
  </cols>
  <sheetData>
    <row r="1" spans="1:17" s="5" customFormat="1" ht="32" customHeight="1">
      <c r="A1" s="17"/>
      <c r="B1" s="17"/>
      <c r="C1" s="17"/>
      <c r="D1" s="18"/>
      <c r="E1" s="171" t="s">
        <v>120</v>
      </c>
      <c r="F1" s="172"/>
      <c r="G1" s="172"/>
      <c r="H1" s="172"/>
      <c r="I1" s="172"/>
      <c r="J1" s="172"/>
      <c r="K1" s="173"/>
      <c r="L1" s="18"/>
    </row>
    <row r="2" spans="1:17" s="5" customFormat="1" ht="36" customHeight="1" thickBot="1">
      <c r="A2" s="174" t="s">
        <v>121</v>
      </c>
      <c r="B2" s="175"/>
      <c r="C2" s="175"/>
      <c r="D2" s="18"/>
      <c r="E2" s="176" t="s">
        <v>122</v>
      </c>
      <c r="F2" s="177"/>
      <c r="G2" s="177"/>
      <c r="H2" s="177"/>
      <c r="I2" s="177"/>
      <c r="J2" s="177"/>
      <c r="K2" s="178"/>
      <c r="L2" s="20"/>
    </row>
    <row r="3" spans="1:17" s="5" customFormat="1" ht="36" customHeight="1" thickBot="1">
      <c r="A3" s="19" t="s">
        <v>123</v>
      </c>
      <c r="B3" s="17"/>
      <c r="C3" s="17"/>
      <c r="D3" s="18"/>
      <c r="E3" s="174" t="s">
        <v>124</v>
      </c>
      <c r="F3" s="179"/>
      <c r="G3" s="179"/>
      <c r="H3" s="179"/>
      <c r="I3" s="179"/>
      <c r="J3" s="179"/>
      <c r="K3" s="179"/>
      <c r="L3" s="20"/>
    </row>
    <row r="4" spans="1:17" ht="15" thickBot="1">
      <c r="A4" s="3"/>
      <c r="B4" s="13" t="s">
        <v>125</v>
      </c>
      <c r="C4" s="14" t="s">
        <v>126</v>
      </c>
      <c r="D4" s="25"/>
      <c r="E4" s="25"/>
      <c r="F4" s="25"/>
      <c r="G4" s="25"/>
      <c r="H4" s="25"/>
      <c r="I4" s="25"/>
      <c r="J4" s="25"/>
      <c r="K4" s="25"/>
      <c r="L4" s="25"/>
    </row>
    <row r="5" spans="1:17" ht="18">
      <c r="A5" s="8" t="s">
        <v>127</v>
      </c>
      <c r="B5" s="7">
        <f>(DATA!J47/160)*100</f>
      </c>
      <c r="C5" s="4">
        <f>(SUM(DATA!O47/SQRT(4)))/40*100</f>
      </c>
      <c r="D5" s="25"/>
      <c r="E5" s="180"/>
      <c r="F5" s="181"/>
      <c r="G5" s="181"/>
      <c r="H5" s="181"/>
      <c r="I5" s="181"/>
      <c r="J5" s="181"/>
      <c r="K5" s="181"/>
      <c r="L5" s="37"/>
      <c r="M5" s="38"/>
      <c r="N5" s="38"/>
      <c r="O5" s="38"/>
      <c r="P5" s="38"/>
      <c r="Q5" s="38"/>
    </row>
    <row r="6" spans="1:17" ht="16">
      <c r="A6" s="7" t="s">
        <v>128</v>
      </c>
      <c r="B6" s="7">
        <f>(DATA!J48/160)*100</f>
      </c>
      <c r="C6" s="4">
        <f>(SUM(DATA!O48/SQRT(4)))/40*100</f>
      </c>
      <c r="D6" s="25"/>
      <c r="E6" s="231" t="s">
        <v>129</v>
      </c>
      <c r="F6" s="232"/>
      <c r="G6" s="232"/>
      <c r="H6" s="232"/>
      <c r="I6" s="232"/>
      <c r="J6" s="232"/>
      <c r="K6" s="232"/>
      <c r="L6" s="25"/>
    </row>
    <row r="7" spans="1:17" ht="14">
      <c r="A7" s="7" t="s">
        <v>130</v>
      </c>
      <c r="B7" s="7">
        <f>(DATA!J49/160)*100</f>
      </c>
      <c r="C7" s="4">
        <f>(SUM(DATA!O49/SQRT(4)))/40*100</f>
      </c>
      <c r="D7" s="25"/>
      <c r="E7" s="28"/>
      <c r="F7" s="25"/>
      <c r="G7" s="25"/>
      <c r="H7" s="25"/>
      <c r="I7" s="25"/>
      <c r="J7" s="25"/>
      <c r="K7" s="25"/>
      <c r="L7" s="25"/>
    </row>
    <row r="8" spans="1:17" ht="14">
      <c r="A8" s="8" t="s">
        <v>131</v>
      </c>
      <c r="B8" s="7">
        <f>(DATA!J50/160)*100</f>
      </c>
      <c r="C8" s="4">
        <f>(SUM(DATA!O50/SQRT(4)))/40*100</f>
      </c>
      <c r="D8" s="25"/>
      <c r="E8" s="28"/>
      <c r="F8" s="25"/>
      <c r="G8" s="25"/>
      <c r="H8" s="25"/>
      <c r="I8" s="25"/>
      <c r="J8" s="25"/>
      <c r="K8" s="25"/>
      <c r="L8" s="25"/>
    </row>
    <row r="9" spans="1:17" ht="14">
      <c r="A9" s="8" t="s">
        <v>132</v>
      </c>
      <c r="B9" s="7">
        <f>(DATA!J51/160)*100</f>
      </c>
      <c r="C9" s="4">
        <f>(SUM(DATA!O51/SQRT(4)))/40*100</f>
      </c>
      <c r="D9" s="25"/>
      <c r="E9" s="28"/>
      <c r="F9" s="25"/>
      <c r="G9" s="25"/>
      <c r="H9" s="25"/>
      <c r="I9" s="25"/>
      <c r="J9" s="25"/>
      <c r="K9" s="25"/>
      <c r="L9" s="25"/>
    </row>
    <row r="10" spans="1:17" ht="14">
      <c r="A10" s="8" t="s">
        <v>133</v>
      </c>
      <c r="B10" s="7">
        <f>(DATA!J52/160)*100</f>
      </c>
      <c r="C10" s="4">
        <f>(SUM(DATA!O52/SQRT(4)))/40*100</f>
      </c>
      <c r="D10" s="25"/>
      <c r="E10" s="28"/>
      <c r="F10" s="25"/>
      <c r="G10" s="25"/>
      <c r="H10" s="25"/>
      <c r="I10" s="25"/>
      <c r="J10" s="25"/>
      <c r="K10" s="25"/>
      <c r="L10" s="25"/>
    </row>
    <row r="11" spans="1:17" ht="14">
      <c r="A11" s="8" t="s">
        <v>134</v>
      </c>
      <c r="B11" s="7">
        <f>(DATA!J53/160)*100</f>
      </c>
      <c r="C11" s="4">
        <f>(SUM(DATA!O53/SQRT(4)))/40*100</f>
      </c>
      <c r="D11" s="25"/>
      <c r="E11" s="28"/>
      <c r="F11" s="25"/>
      <c r="G11" s="25"/>
      <c r="H11" s="25"/>
      <c r="I11" s="25"/>
      <c r="J11" s="25"/>
      <c r="K11" s="25"/>
      <c r="L11" s="25"/>
    </row>
    <row r="12" spans="1:17" ht="14">
      <c r="A12" s="7" t="s">
        <v>135</v>
      </c>
      <c r="B12" s="7">
        <f>(DATA!J54/160)*100</f>
      </c>
      <c r="C12" s="4">
        <f>(SUM(DATA!O54/SQRT(4)))/40*100</f>
      </c>
      <c r="D12" s="25"/>
      <c r="E12" s="28"/>
      <c r="F12" s="25"/>
      <c r="G12" s="25"/>
      <c r="H12" s="25"/>
      <c r="I12" s="25"/>
      <c r="J12" s="25"/>
      <c r="K12" s="25"/>
      <c r="L12" s="25"/>
    </row>
    <row r="13" spans="1:17" ht="14">
      <c r="A13" s="8" t="s">
        <v>136</v>
      </c>
      <c r="B13" s="7">
        <f>(DATA!J55/160)*100</f>
      </c>
      <c r="C13" s="4">
        <f>(SUM(DATA!O55/SQRT(4)))/40*100</f>
      </c>
      <c r="D13" s="25"/>
      <c r="E13" s="28"/>
      <c r="F13" s="25"/>
      <c r="G13" s="25"/>
      <c r="H13" s="25"/>
      <c r="I13" s="25"/>
      <c r="J13" s="25"/>
      <c r="K13" s="25"/>
      <c r="L13" s="25"/>
    </row>
    <row r="14" spans="1:17" ht="14">
      <c r="A14" s="8" t="s">
        <v>137</v>
      </c>
      <c r="B14" s="7">
        <f>(DATA!J56/160)*100</f>
      </c>
      <c r="C14" s="4">
        <f>(SUM(DATA!O56/SQRT(4)))/40*100</f>
      </c>
      <c r="D14" s="25"/>
      <c r="E14" s="28"/>
      <c r="F14" s="25"/>
      <c r="G14" s="25"/>
      <c r="H14" s="25"/>
      <c r="I14" s="25"/>
      <c r="J14" s="25"/>
      <c r="K14" s="25"/>
      <c r="L14" s="25"/>
    </row>
    <row r="15" spans="1:17" ht="14">
      <c r="A15" s="8" t="s">
        <v>231</v>
      </c>
      <c r="B15" s="7">
        <f>(DATA!J57/160)*100</f>
      </c>
      <c r="C15" s="4">
        <f>(SUM(DATA!O57/SQRT(4)))/40*100</f>
      </c>
      <c r="D15" s="25"/>
      <c r="E15" s="28"/>
      <c r="F15" s="25"/>
      <c r="G15" s="25"/>
      <c r="H15" s="25"/>
      <c r="I15" s="25"/>
      <c r="J15" s="25"/>
      <c r="K15" s="25"/>
      <c r="L15" s="25"/>
    </row>
    <row r="16" spans="1:17" ht="14">
      <c r="A16" s="8" t="s">
        <v>232</v>
      </c>
      <c r="B16" s="7">
        <f>(DATA!J58/160)*100</f>
      </c>
      <c r="C16" s="4">
        <f>(SUM(DATA!O58/SQRT(4)))/40*100</f>
      </c>
      <c r="D16" s="25"/>
      <c r="E16" s="28"/>
      <c r="F16" s="25"/>
      <c r="G16" s="25"/>
      <c r="H16" s="25"/>
      <c r="I16" s="25"/>
      <c r="J16" s="25"/>
      <c r="K16" s="25"/>
      <c r="L16" s="25"/>
    </row>
    <row r="17" spans="1:12" ht="14">
      <c r="A17" s="8" t="s">
        <v>233</v>
      </c>
      <c r="B17" s="7">
        <f>(DATA!J59/160)*100</f>
      </c>
      <c r="C17" s="4">
        <f>(SUM(DATA!O59/SQRT(4)))/40*100</f>
      </c>
      <c r="D17" s="25"/>
      <c r="E17" s="28"/>
      <c r="F17" s="25"/>
      <c r="G17" s="25"/>
      <c r="H17" s="25"/>
      <c r="I17" s="25"/>
      <c r="J17" s="25"/>
      <c r="K17" s="25"/>
      <c r="L17" s="25"/>
    </row>
    <row r="18" spans="1:12" ht="14">
      <c r="A18" s="8" t="s">
        <v>234</v>
      </c>
      <c r="B18" s="7">
        <f>(DATA!J60/160)*100</f>
      </c>
      <c r="C18" s="4">
        <f>(SUM(DATA!O60/SQRT(4)))/40*100</f>
      </c>
      <c r="D18" s="25"/>
      <c r="E18" s="28"/>
      <c r="F18" s="25"/>
      <c r="G18" s="25"/>
      <c r="H18" s="25"/>
      <c r="I18" s="25"/>
      <c r="J18" s="25"/>
      <c r="K18" s="25"/>
      <c r="L18" s="25"/>
    </row>
    <row r="19" spans="1:12" ht="14">
      <c r="A19" s="8" t="s">
        <v>235</v>
      </c>
      <c r="B19" s="7">
        <f>(DATA!J61/160)*100</f>
      </c>
      <c r="C19" s="4">
        <f>(SUM(DATA!O61/SQRT(4)))/40*100</f>
      </c>
      <c r="D19" s="25"/>
      <c r="E19" s="28"/>
      <c r="F19" s="25"/>
      <c r="G19" s="25"/>
      <c r="H19" s="25"/>
      <c r="I19" s="25"/>
      <c r="J19" s="25"/>
      <c r="K19" s="25"/>
      <c r="L19" s="25"/>
    </row>
    <row r="20" spans="1:12" ht="14">
      <c r="A20" s="8" t="s">
        <v>198</v>
      </c>
      <c r="B20" s="7">
        <f>(DATA!J62/160)*100</f>
      </c>
      <c r="C20" s="4">
        <f>(SUM(DATA!O62/SQRT(4)))/40*100</f>
      </c>
      <c r="D20" s="25"/>
      <c r="E20" s="28"/>
      <c r="F20" s="25"/>
      <c r="G20" s="25"/>
      <c r="H20" s="25"/>
      <c r="I20" s="25"/>
      <c r="J20" s="25"/>
      <c r="K20" s="25"/>
      <c r="L20" s="25"/>
    </row>
    <row r="21" spans="1:12" ht="14">
      <c r="A21" s="8" t="s">
        <v>237</v>
      </c>
      <c r="B21" s="7">
        <f>(DATA!J63/160)*100</f>
      </c>
      <c r="C21" s="4">
        <f>(SUM(DATA!O63/SQRT(4)))/40*100</f>
      </c>
      <c r="D21" s="25"/>
      <c r="E21" s="28"/>
      <c r="F21" s="25"/>
      <c r="G21" s="25"/>
      <c r="H21" s="25"/>
      <c r="I21" s="25"/>
      <c r="J21" s="25"/>
      <c r="K21" s="25"/>
      <c r="L21" s="25"/>
    </row>
    <row r="22" spans="1:12" ht="14">
      <c r="A22" s="8" t="s">
        <v>202</v>
      </c>
      <c r="B22" s="7">
        <f>(DATA!J64/160)*100</f>
      </c>
      <c r="C22" s="4">
        <f>(SUM(DATA!O64/SQRT(4)))/40*100</f>
      </c>
      <c r="D22" s="25"/>
      <c r="E22" s="28"/>
      <c r="F22" s="25"/>
      <c r="G22" s="25"/>
      <c r="H22" s="25"/>
      <c r="I22" s="25"/>
      <c r="J22" s="25"/>
      <c r="K22" s="25"/>
      <c r="L22" s="25"/>
    </row>
    <row r="23" spans="1:12" ht="14">
      <c r="A23" s="8" t="s">
        <v>239</v>
      </c>
      <c r="B23" s="7">
        <f>(DATA!J65/160)*100</f>
      </c>
      <c r="C23" s="4">
        <f>(SUM(DATA!O65/SQRT(4)))/40*100</f>
      </c>
      <c r="D23" s="25"/>
      <c r="E23" s="28"/>
      <c r="F23" s="25"/>
      <c r="G23" s="25"/>
      <c r="H23" s="25"/>
      <c r="I23" s="25"/>
      <c r="J23" s="25"/>
      <c r="K23" s="25"/>
      <c r="L23" s="25"/>
    </row>
    <row r="24" spans="1:12" ht="14">
      <c r="A24" s="8" t="s">
        <v>240</v>
      </c>
      <c r="B24" s="7">
        <f>(DATA!J66/160)*100</f>
      </c>
      <c r="C24" s="4">
        <f>(SUM(DATA!O66/SQRT(4)))/40*100</f>
      </c>
      <c r="D24" s="25"/>
      <c r="E24" s="28"/>
      <c r="F24" s="25"/>
      <c r="G24" s="25"/>
      <c r="H24" s="25"/>
      <c r="I24" s="25"/>
      <c r="J24" s="25"/>
      <c r="K24" s="25"/>
      <c r="L24" s="25"/>
    </row>
    <row r="25" spans="1:12" ht="15" thickBot="1">
      <c r="A25" s="9" t="s">
        <v>241</v>
      </c>
      <c r="B25" s="10">
        <f>(DATA!J67/160)*100</f>
      </c>
      <c r="C25" s="36">
        <f>(SUM(DATA!O67/SQRT(4)))/40*100</f>
      </c>
      <c r="D25" s="25"/>
      <c r="E25" s="28"/>
      <c r="F25" s="25"/>
      <c r="G25" s="25"/>
      <c r="H25" s="25"/>
      <c r="I25" s="25"/>
      <c r="J25" s="25"/>
      <c r="K25" s="25"/>
      <c r="L25" s="25"/>
    </row>
    <row r="26" spans="1:12" ht="15" thickBot="1">
      <c r="A26" s="6"/>
      <c r="B26" s="6"/>
      <c r="C26" s="25"/>
      <c r="D26" s="25"/>
      <c r="E26" s="28"/>
      <c r="F26" s="25"/>
      <c r="G26" s="25"/>
      <c r="H26" s="25"/>
      <c r="I26" s="25"/>
      <c r="J26" s="25"/>
      <c r="K26" s="25"/>
      <c r="L26" s="25"/>
    </row>
    <row r="27" spans="1:12" s="5" customFormat="1" ht="46" thickBot="1">
      <c r="A27" s="11" t="s">
        <v>138</v>
      </c>
      <c r="B27" s="12">
        <f>SUM(B5:B25)</f>
      </c>
      <c r="C27" s="25"/>
      <c r="D27" s="25"/>
      <c r="E27" s="28"/>
      <c r="F27" s="25"/>
      <c r="G27" s="25"/>
      <c r="H27" s="25"/>
      <c r="I27" s="25"/>
      <c r="J27" s="25"/>
      <c r="K27" s="25"/>
      <c r="L27" s="25"/>
    </row>
    <row r="28" spans="1:12">
      <c r="A28" s="25"/>
      <c r="B28" s="25"/>
      <c r="C28" s="25"/>
      <c r="D28" s="25"/>
      <c r="E28" s="28"/>
      <c r="F28" s="25"/>
      <c r="G28" s="25"/>
      <c r="H28" s="25"/>
      <c r="I28" s="25"/>
      <c r="J28" s="25"/>
      <c r="K28" s="25"/>
    </row>
    <row r="29" spans="1:12" s="5" customFormat="1" ht="14" thickBot="1">
      <c r="A29" s="25"/>
      <c r="B29" s="25"/>
      <c r="C29" s="25"/>
      <c r="D29" s="25"/>
      <c r="E29" s="28"/>
      <c r="F29" s="25"/>
      <c r="G29" s="25"/>
      <c r="H29" s="25"/>
      <c r="I29" s="25"/>
      <c r="J29" s="25"/>
      <c r="K29" s="25"/>
    </row>
    <row r="30" spans="1:12" ht="31" thickBot="1">
      <c r="A30" s="15" t="s">
        <v>317</v>
      </c>
      <c r="B30" s="13" t="s">
        <v>125</v>
      </c>
      <c r="C30" s="13" t="s">
        <v>126</v>
      </c>
      <c r="D30" s="25"/>
      <c r="E30" s="28"/>
      <c r="F30" s="25"/>
      <c r="G30" s="25"/>
      <c r="H30" s="25"/>
      <c r="I30" s="25"/>
      <c r="J30" s="25"/>
      <c r="K30" s="25"/>
    </row>
    <row r="31" spans="1:12" ht="14">
      <c r="A31" s="7" t="s">
        <v>231</v>
      </c>
      <c r="B31" s="7">
        <f>B15</f>
      </c>
      <c r="C31" s="7">
        <f>C15</f>
      </c>
      <c r="D31" s="25"/>
      <c r="E31" s="28"/>
      <c r="F31" s="25"/>
      <c r="G31" s="25"/>
      <c r="H31" s="25"/>
      <c r="I31" s="25"/>
      <c r="J31" s="25"/>
      <c r="K31" s="25"/>
    </row>
    <row r="32" spans="1:12" ht="14">
      <c r="A32" s="7" t="s">
        <v>232</v>
      </c>
      <c r="B32" s="7">
        <f>B16</f>
      </c>
      <c r="C32" s="7">
        <f>C16</f>
      </c>
      <c r="D32" s="25"/>
      <c r="E32" s="28"/>
      <c r="F32" s="25"/>
      <c r="G32" s="25"/>
      <c r="H32" s="25"/>
      <c r="I32" s="25"/>
      <c r="J32" s="25"/>
      <c r="K32" s="25"/>
    </row>
    <row r="33" spans="1:11" ht="15" thickBot="1">
      <c r="A33" s="10" t="s">
        <v>233</v>
      </c>
      <c r="B33" s="10">
        <f>B17</f>
      </c>
      <c r="C33" s="10">
        <f>C17</f>
      </c>
      <c r="D33" s="25"/>
      <c r="E33" s="28"/>
      <c r="F33" s="25"/>
      <c r="G33" s="25"/>
      <c r="H33" s="25"/>
      <c r="I33" s="25"/>
      <c r="J33" s="25"/>
      <c r="K33" s="25"/>
    </row>
    <row r="34" spans="1:11" ht="14">
      <c r="A34" s="108"/>
      <c r="B34" s="108"/>
      <c r="C34" s="108"/>
      <c r="D34" s="25"/>
      <c r="E34" s="25"/>
      <c r="F34" s="25"/>
      <c r="G34" s="25"/>
      <c r="H34" s="25"/>
      <c r="I34" s="25"/>
      <c r="J34" s="25"/>
      <c r="K34" s="25"/>
    </row>
    <row r="35" spans="1:11" ht="14">
      <c r="A35" s="108"/>
      <c r="B35" s="108"/>
      <c r="C35" s="108"/>
      <c r="D35" s="25"/>
      <c r="E35" s="25"/>
      <c r="F35" s="25"/>
      <c r="G35" s="25"/>
      <c r="H35" s="25"/>
      <c r="I35" s="25"/>
      <c r="J35" s="25"/>
      <c r="K35" s="25"/>
    </row>
    <row r="36" spans="1:11" ht="14">
      <c r="A36" s="108"/>
      <c r="B36" s="108"/>
      <c r="C36" s="108"/>
      <c r="D36" s="25"/>
      <c r="E36" s="25"/>
      <c r="F36" s="25"/>
      <c r="G36" s="25"/>
      <c r="H36" s="25"/>
      <c r="I36" s="25"/>
      <c r="J36" s="25"/>
      <c r="K36" s="25"/>
    </row>
    <row r="39" spans="1:11" ht="15" thickBot="1">
      <c r="A39" s="2"/>
      <c r="B39" s="2"/>
      <c r="C39" s="2"/>
      <c r="D39" s="25"/>
      <c r="E39" s="28"/>
      <c r="F39" s="25"/>
      <c r="G39" s="25"/>
      <c r="H39" s="25"/>
      <c r="I39" s="25"/>
      <c r="J39" s="25"/>
      <c r="K39" s="25"/>
    </row>
    <row r="54" spans="1:17">
      <c r="A54" s="16"/>
      <c r="B54" s="16"/>
      <c r="C54" s="16"/>
      <c r="D54" s="16"/>
      <c r="E54" s="28"/>
      <c r="F54" s="25"/>
      <c r="G54" s="25"/>
      <c r="H54" s="25"/>
      <c r="I54" s="25"/>
      <c r="J54" s="25"/>
      <c r="K54" s="25"/>
    </row>
    <row r="55" spans="1:17" ht="63.75" customHeight="1">
      <c r="A55" s="228"/>
      <c r="B55" s="230"/>
      <c r="C55" s="230"/>
      <c r="D55" s="230"/>
      <c r="E55" s="28"/>
      <c r="F55" s="25"/>
      <c r="G55" s="25"/>
      <c r="H55" s="25"/>
      <c r="I55" s="25"/>
      <c r="J55" s="25"/>
      <c r="K55" s="25"/>
    </row>
    <row r="56" spans="1:17" ht="12" customHeight="1">
      <c r="A56" s="170"/>
      <c r="B56" s="170"/>
      <c r="C56" s="170"/>
      <c r="D56" s="25"/>
      <c r="E56" s="28"/>
      <c r="F56" s="25"/>
      <c r="G56" s="25"/>
      <c r="H56" s="25"/>
      <c r="I56" s="25"/>
      <c r="J56" s="25"/>
      <c r="K56" s="25"/>
    </row>
    <row r="57" spans="1:17" ht="39.75" customHeight="1">
      <c r="A57" s="25"/>
      <c r="B57" s="25"/>
      <c r="C57" s="25"/>
      <c r="D57" s="25"/>
      <c r="E57" s="28"/>
      <c r="F57" s="25"/>
      <c r="G57" s="25"/>
      <c r="H57" s="25"/>
      <c r="I57" s="25"/>
      <c r="J57" s="25"/>
      <c r="K57" s="25"/>
    </row>
    <row r="58" spans="1:17">
      <c r="A58" s="25"/>
      <c r="B58" s="25"/>
      <c r="C58" s="25"/>
      <c r="D58" s="25"/>
      <c r="E58" s="28"/>
      <c r="F58" s="25"/>
      <c r="G58" s="25"/>
      <c r="H58" s="25"/>
      <c r="I58" s="25"/>
      <c r="J58" s="25"/>
      <c r="K58" s="25"/>
    </row>
    <row r="59" spans="1:17">
      <c r="A59" s="25"/>
      <c r="B59" s="25"/>
      <c r="C59" s="25"/>
      <c r="D59" s="25"/>
      <c r="E59" s="28"/>
      <c r="F59" s="25"/>
      <c r="G59" s="25"/>
      <c r="H59" s="25"/>
      <c r="I59" s="25"/>
      <c r="J59" s="25"/>
      <c r="K59" s="25"/>
    </row>
    <row r="60" spans="1:17">
      <c r="A60" s="25"/>
      <c r="B60" s="25"/>
      <c r="C60" s="25"/>
      <c r="D60" s="25"/>
      <c r="E60" s="28"/>
      <c r="F60" s="25"/>
      <c r="G60" s="25"/>
      <c r="H60" s="25"/>
      <c r="I60" s="25"/>
      <c r="J60" s="25"/>
      <c r="K60" s="25"/>
    </row>
    <row r="61" spans="1:17">
      <c r="A61" s="25"/>
      <c r="B61" s="25"/>
      <c r="C61" s="25"/>
      <c r="D61" s="25"/>
      <c r="E61" s="28"/>
      <c r="F61" s="25"/>
      <c r="G61" s="25"/>
      <c r="H61" s="25"/>
      <c r="I61" s="25"/>
      <c r="J61" s="25"/>
      <c r="K61" s="25"/>
    </row>
    <row r="62" spans="1:17" ht="14" thickBot="1">
      <c r="A62" s="25"/>
      <c r="B62" s="25"/>
      <c r="C62" s="25"/>
      <c r="D62" s="25"/>
      <c r="E62" s="29"/>
      <c r="F62" s="30"/>
      <c r="G62" s="30"/>
      <c r="H62" s="30"/>
      <c r="I62" s="30"/>
      <c r="J62" s="30"/>
      <c r="K62" s="30"/>
      <c r="L62" s="42"/>
      <c r="M62" s="42"/>
      <c r="N62" s="42"/>
      <c r="O62" s="42"/>
      <c r="P62" s="42"/>
      <c r="Q62" s="42"/>
    </row>
  </sheetData>
  <sheetProtection sheet="1" objects="1" scenarios="1"/>
  <mergeCells count="10">
    <mergeCell ref="A52:C52"/>
    <mergeCell ref="A53:D53"/>
    <mergeCell ref="A55:D55"/>
    <mergeCell ref="A56:C56"/>
    <mergeCell ref="E1:K1"/>
    <mergeCell ref="A2:C2"/>
    <mergeCell ref="E2:K2"/>
    <mergeCell ref="E3:K3"/>
    <mergeCell ref="E5:K5"/>
    <mergeCell ref="E6:K6"/>
  </mergeCells>
  <phoneticPr fontId="23" type="noConversion"/>
  <pageMargins left="0.74803149606299213" right="0.74803149606299213" top="0.98425196850393704" bottom="0.98425196850393704" header="0.51181102362204722" footer="0.51181102362204722"/>
  <pageSetup paperSize="9" orientation="portrait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BL63"/>
  <sheetViews>
    <sheetView topLeftCell="A10" workbookViewId="0">
      <selection activeCell="U38" sqref="U38"/>
    </sheetView>
  </sheetViews>
  <sheetFormatPr baseColWidth="10" defaultColWidth="8.83203125" defaultRowHeight="13"/>
  <cols>
    <col min="20" max="20" width="14.1640625" customWidth="1"/>
  </cols>
  <sheetData>
    <row r="1" spans="1:64" ht="50" customHeight="1">
      <c r="A1" s="27" t="s">
        <v>244</v>
      </c>
      <c r="B1" s="27" t="s">
        <v>245</v>
      </c>
      <c r="C1" s="27" t="s">
        <v>246</v>
      </c>
      <c r="D1" s="109" t="s">
        <v>247</v>
      </c>
      <c r="E1" s="27" t="s">
        <v>248</v>
      </c>
      <c r="F1" s="27" t="s">
        <v>249</v>
      </c>
      <c r="G1" s="27" t="s">
        <v>250</v>
      </c>
      <c r="H1" s="27" t="s">
        <v>251</v>
      </c>
      <c r="I1" s="27" t="s">
        <v>127</v>
      </c>
      <c r="J1" s="27" t="s">
        <v>128</v>
      </c>
      <c r="K1" s="27" t="s">
        <v>130</v>
      </c>
      <c r="L1" s="27" t="s">
        <v>131</v>
      </c>
      <c r="M1" s="27" t="s">
        <v>132</v>
      </c>
      <c r="N1" s="27" t="s">
        <v>133</v>
      </c>
      <c r="O1" s="27" t="s">
        <v>134</v>
      </c>
      <c r="P1" s="27" t="s">
        <v>135</v>
      </c>
      <c r="Q1" s="27" t="s">
        <v>136</v>
      </c>
      <c r="R1" s="27" t="s">
        <v>137</v>
      </c>
      <c r="S1" s="27" t="s">
        <v>252</v>
      </c>
      <c r="T1" s="111" t="s">
        <v>253</v>
      </c>
      <c r="U1" s="27" t="s">
        <v>254</v>
      </c>
      <c r="V1" s="27" t="s">
        <v>255</v>
      </c>
      <c r="W1" s="27" t="s">
        <v>256</v>
      </c>
      <c r="X1" s="27" t="s">
        <v>257</v>
      </c>
      <c r="Y1" s="27" t="s">
        <v>258</v>
      </c>
      <c r="Z1" s="27" t="s">
        <v>259</v>
      </c>
      <c r="AA1" s="27" t="s">
        <v>260</v>
      </c>
      <c r="AB1" s="27" t="s">
        <v>261</v>
      </c>
      <c r="AC1" s="27" t="s">
        <v>262</v>
      </c>
      <c r="AD1" s="27" t="s">
        <v>263</v>
      </c>
      <c r="AE1" s="27" t="s">
        <v>264</v>
      </c>
      <c r="AF1" s="27" t="s">
        <v>265</v>
      </c>
      <c r="AG1" s="27" t="s">
        <v>266</v>
      </c>
      <c r="AH1" s="27" t="s">
        <v>267</v>
      </c>
      <c r="AI1" s="27" t="s">
        <v>268</v>
      </c>
      <c r="AJ1" s="27" t="s">
        <v>269</v>
      </c>
      <c r="AK1" s="27" t="s">
        <v>270</v>
      </c>
      <c r="AL1" s="27" t="s">
        <v>271</v>
      </c>
      <c r="AM1" s="27" t="s">
        <v>272</v>
      </c>
      <c r="AN1" s="27" t="s">
        <v>273</v>
      </c>
      <c r="AO1" s="27" t="s">
        <v>274</v>
      </c>
      <c r="AP1" s="27" t="s">
        <v>275</v>
      </c>
      <c r="AQ1" s="27" t="s">
        <v>276</v>
      </c>
      <c r="AR1" s="27" t="s">
        <v>277</v>
      </c>
      <c r="AS1" s="27" t="s">
        <v>278</v>
      </c>
      <c r="AT1" s="27" t="s">
        <v>279</v>
      </c>
      <c r="AU1" s="27" t="s">
        <v>280</v>
      </c>
      <c r="AV1" s="27" t="s">
        <v>281</v>
      </c>
      <c r="AW1" s="27" t="s">
        <v>282</v>
      </c>
      <c r="AX1" s="27" t="s">
        <v>283</v>
      </c>
      <c r="AY1" s="27" t="s">
        <v>284</v>
      </c>
      <c r="AZ1" s="27" t="s">
        <v>285</v>
      </c>
      <c r="BA1" s="27" t="s">
        <v>286</v>
      </c>
      <c r="BB1" s="27" t="s">
        <v>287</v>
      </c>
      <c r="BC1" s="27" t="s">
        <v>288</v>
      </c>
      <c r="BD1" s="27" t="s">
        <v>289</v>
      </c>
      <c r="BE1" s="27" t="s">
        <v>290</v>
      </c>
      <c r="BF1" s="27" t="s">
        <v>291</v>
      </c>
      <c r="BG1" s="27" t="s">
        <v>292</v>
      </c>
      <c r="BH1" s="27" t="s">
        <v>293</v>
      </c>
      <c r="BI1" s="27" t="s">
        <v>294</v>
      </c>
      <c r="BJ1" s="27" t="s">
        <v>295</v>
      </c>
      <c r="BK1" s="27" t="s">
        <v>252</v>
      </c>
      <c r="BL1" s="27" t="s">
        <v>296</v>
      </c>
    </row>
    <row r="2" spans="1:64" ht="14.75" customHeight="1">
      <c r="A2">
        <f>YEAR(DATA!$K$2)</f>
      </c>
      <c r="B2">
        <f>MONTH(DATA!$K$2)</f>
      </c>
      <c r="C2">
        <f>DAY(DATA!$K$2)</f>
      </c>
      <c r="E2">
        <f>DATA!$C$1</f>
      </c>
      <c r="F2">
        <f>DATA!$L$7</f>
      </c>
      <c r="G2">
        <f>DATA!$C$7</f>
      </c>
      <c r="H2" s="110">
        <f>DATA!$C$2</f>
      </c>
      <c r="I2">
        <f>DATA!B73/DATA!$B$83</f>
      </c>
      <c r="J2">
        <f>DATA!B74/DATA!$B$83</f>
      </c>
      <c r="K2">
        <f>DATA!B75/DATA!$B$83</f>
      </c>
      <c r="L2">
        <f>DATA!B76/DATA!$B$83</f>
      </c>
      <c r="M2">
        <f>DATA!B77/DATA!$B$83</f>
      </c>
      <c r="N2">
        <f>DATA!B78/DATA!$B$83</f>
      </c>
      <c r="O2">
        <f>DATA!B79/DATA!$B$83</f>
      </c>
      <c r="P2">
        <f>DATA!B80/DATA!$B$83</f>
      </c>
      <c r="Q2">
        <f>DATA!B81/DATA!$B$83</f>
      </c>
      <c r="R2">
        <f>DATA!B82/DATA!$B$83</f>
      </c>
      <c r="S2">
        <f>DATA!C42</f>
      </c>
      <c r="T2">
        <f>DATA!$L$3 &amp;"、"&amp; DATA!$N$3</f>
      </c>
      <c r="U2"/>
    </row>
    <row r="3" spans="1:64" ht="14.75" customHeight="1">
      <c r="A3">
        <f>YEAR(DATA!$K$2)</f>
      </c>
      <c r="B3">
        <f>MONTH(DATA!$K$2)</f>
      </c>
      <c r="C3">
        <f>DAY(DATA!$K$2)</f>
      </c>
      <c r="E3">
        <f>DATA!$C$1</f>
      </c>
      <c r="F3">
        <f>DATA!$L$7</f>
      </c>
      <c r="G3">
        <f>DATA!$C$7</f>
      </c>
      <c r="H3" s="110">
        <f>DATA!$C$2</f>
      </c>
      <c r="I3">
        <f>DATA!D73/DATA!$D$83</f>
      </c>
      <c r="J3">
        <f>DATA!D74/DATA!$D$83</f>
      </c>
      <c r="K3">
        <f>DATA!D75/DATA!$D$83</f>
      </c>
      <c r="L3">
        <f>DATA!D76/DATA!$D$83</f>
      </c>
      <c r="M3">
        <f>DATA!D77/DATA!$D$83</f>
      </c>
      <c r="N3">
        <f>DATA!D78/DATA!$D$83</f>
      </c>
      <c r="O3">
        <f>DATA!D79/DATA!$D$83</f>
      </c>
      <c r="P3">
        <f>DATA!D80/DATA!$D$83</f>
      </c>
      <c r="Q3">
        <f>DATA!D81/DATA!$D$83</f>
      </c>
      <c r="R3">
        <f>DATA!D82/DATA!$D$83</f>
      </c>
      <c r="T3">
        <f>DATA!$L$3 &amp;"、"&amp; DATA!$N$3</f>
      </c>
      <c r="U3"/>
    </row>
    <row r="4" spans="1:64" ht="14.75" customHeight="1">
      <c r="A4">
        <f>YEAR(DATA!$K$2)</f>
      </c>
      <c r="B4">
        <f>MONTH(DATA!$K$2)</f>
      </c>
      <c r="C4">
        <f>DAY(DATA!$K$2)</f>
      </c>
      <c r="E4">
        <f>DATA!$C$1</f>
      </c>
      <c r="F4">
        <f>DATA!$L$7</f>
      </c>
      <c r="G4">
        <f>DATA!$C$7</f>
      </c>
      <c r="H4" s="110">
        <f>DATA!$C$2</f>
      </c>
      <c r="I4">
        <f>DATA!F73/DATA!$F$83</f>
      </c>
      <c r="J4">
        <f>DATA!F74/DATA!$F$83</f>
      </c>
      <c r="K4">
        <f>DATA!F75/DATA!$F$83</f>
      </c>
      <c r="L4">
        <f>DATA!F76/DATA!$F$83</f>
      </c>
      <c r="M4">
        <f>DATA!F77/DATA!$F$83</f>
      </c>
      <c r="N4">
        <f>DATA!F78/DATA!$F$83</f>
      </c>
      <c r="O4">
        <f>DATA!F79/DATA!$F$83</f>
      </c>
      <c r="P4">
        <f>DATA!F80/DATA!$F$83</f>
      </c>
      <c r="Q4">
        <f>DATA!F81/DATA!$F$83</f>
      </c>
      <c r="R4">
        <f>DATA!F82/DATA!$F$83</f>
      </c>
      <c r="T4">
        <f>DATA!$L$3 &amp;"、"&amp; DATA!$N$3</f>
      </c>
      <c r="U4"/>
    </row>
    <row r="5" spans="1:64" ht="14.75" customHeight="1">
      <c r="A5">
        <f>YEAR(DATA!$K$2)</f>
      </c>
      <c r="B5">
        <f>MONTH(DATA!$K$2)</f>
      </c>
      <c r="C5">
        <f>DAY(DATA!$K$2)</f>
      </c>
      <c r="E5">
        <f>DATA!$C$1</f>
      </c>
      <c r="F5">
        <f>DATA!$L$7</f>
      </c>
      <c r="G5">
        <f>DATA!$C$7</f>
      </c>
      <c r="H5" s="110">
        <f>DATA!$C$2</f>
      </c>
      <c r="I5">
        <f>DATA!H73/DATA!$H$83</f>
      </c>
      <c r="J5">
        <f>DATA!H74/DATA!$H$83</f>
      </c>
      <c r="K5">
        <f>DATA!H75/DATA!$H$83</f>
      </c>
      <c r="L5">
        <f>DATA!H76/DATA!$H$83</f>
      </c>
      <c r="M5">
        <f>DATA!H77/DATA!$H$83</f>
      </c>
      <c r="N5">
        <f>DATA!H78/DATA!$H$83</f>
      </c>
      <c r="O5">
        <f>DATA!H79/DATA!$H$83</f>
      </c>
      <c r="P5">
        <f>DATA!H80/DATA!$H$83</f>
      </c>
      <c r="Q5">
        <f>DATA!H81/DATA!$H$83</f>
      </c>
      <c r="R5">
        <f>DATA!H82/DATA!$H$83</f>
      </c>
      <c r="T5">
        <f>DATA!$L$3 &amp;"、"&amp; DATA!$N$3</f>
      </c>
      <c r="U5"/>
    </row>
    <row r="16" spans="1:64" ht="16">
      <c r="A16" s="114" t="s">
        <v>297</v>
      </c>
    </row>
    <row r="17" spans="1:17" ht="14">
      <c r="A17" s="27" t="s">
        <v>254</v>
      </c>
      <c r="B17" s="26" t="s">
        <v>298</v>
      </c>
      <c r="C17" s="26" t="s">
        <v>299</v>
      </c>
      <c r="D17" t="s">
        <v>231</v>
      </c>
      <c r="E17" t="s">
        <v>232</v>
      </c>
      <c r="F17" t="s">
        <v>233</v>
      </c>
      <c r="G17" t="s">
        <v>234</v>
      </c>
      <c r="H17" t="s">
        <v>235</v>
      </c>
      <c r="I17" t="s">
        <v>236</v>
      </c>
      <c r="J17" t="s">
        <v>237</v>
      </c>
      <c r="K17" t="s">
        <v>238</v>
      </c>
      <c r="L17" t="s">
        <v>239</v>
      </c>
      <c r="M17" t="s">
        <v>240</v>
      </c>
      <c r="N17" t="s">
        <v>241</v>
      </c>
      <c r="O17" s="26" t="s">
        <v>300</v>
      </c>
      <c r="P17" s="26" t="s">
        <v>301</v>
      </c>
      <c r="Q17" s="26" t="s">
        <v>302</v>
      </c>
    </row>
    <row r="18" spans="1:17">
      <c r="A18"/>
      <c r="B18">
        <f>DATA!I41</f>
      </c>
      <c r="C18">
        <f>DATA!L41</f>
      </c>
      <c r="D18">
        <f>DATA!B57/DATA!$B$68</f>
      </c>
      <c r="E18">
        <f>DATA!B58/DATA!$B$68</f>
      </c>
      <c r="F18">
        <f>DATA!B59/DATA!$B$68</f>
      </c>
      <c r="G18">
        <f>DATA!B60/DATA!$B$68</f>
      </c>
      <c r="H18">
        <f>DATA!B61/DATA!$B$68</f>
      </c>
      <c r="I18">
        <f>DATA!B62/DATA!$B$68</f>
      </c>
      <c r="J18">
        <f>DATA!B63/DATA!$B$68</f>
      </c>
      <c r="K18">
        <f>DATA!B64/DATA!$B$68</f>
      </c>
      <c r="L18">
        <f>DATA!B65/DATA!$B$68</f>
      </c>
      <c r="M18">
        <f>DATA!B66/DATA!$B$68</f>
      </c>
      <c r="N18">
        <f>DATA!B67/DATA!$B$68</f>
      </c>
      <c r="O18">
        <f>IFERROR(DATA!C37/DATA!B73,0)</f>
      </c>
      <c r="P18">
        <f>IFERROR(DATA!C38/DATA!B74,0)</f>
      </c>
      <c r="Q18">
        <f>IFERROR(DATA!C39/DATA!B73,0)</f>
      </c>
    </row>
    <row r="19" spans="1:17">
      <c r="A19"/>
      <c r="D19">
        <f>DATA!B58/DATA!$B$68</f>
      </c>
      <c r="E19">
        <f>DATA!B59/DATA!$B$68</f>
      </c>
      <c r="F19">
        <f>DATA!B60/DATA!$B$68</f>
      </c>
      <c r="G19">
        <f>DATA!B61/DATA!$B$68</f>
      </c>
      <c r="H19">
        <f>DATA!B62/DATA!$B$68</f>
      </c>
      <c r="I19">
        <f>DATA!B63/DATA!$B$68</f>
      </c>
      <c r="J19">
        <f>DATA!B64/DATA!$B$68</f>
      </c>
      <c r="K19">
        <f>DATA!B65/DATA!$B$68</f>
      </c>
      <c r="L19">
        <f>DATA!B66/DATA!$B$68</f>
      </c>
      <c r="M19">
        <f>DATA!B67/DATA!$B$68</f>
      </c>
      <c r="N19">
        <f>DATA!B68/DATA!$B$68</f>
      </c>
      <c r="O19">
        <f>IFERROR(DATA!D37/DATA!D73,0)</f>
      </c>
      <c r="P19">
        <f>IFERROR(DATA!D38/DATA!D74, 0)</f>
      </c>
      <c r="Q19">
        <f>IFERROR(DATA!D39/DATA!D73,0)</f>
      </c>
    </row>
    <row r="20" spans="1:17">
      <c r="A20"/>
      <c r="D20">
        <f>DATA!F57/DATA!$F$68</f>
      </c>
      <c r="E20">
        <f>DATA!F58/DATA!$F$68</f>
      </c>
      <c r="F20">
        <f>DATA!F59/DATA!$F$68</f>
      </c>
      <c r="G20">
        <f>DATA!F60/DATA!$F$68</f>
      </c>
      <c r="H20">
        <f>DATA!F61/DATA!$F$68</f>
      </c>
      <c r="I20">
        <f>DATA!F62/DATA!$F$68</f>
      </c>
      <c r="J20">
        <f>DATA!F63/DATA!$F$68</f>
      </c>
      <c r="K20">
        <f>DATA!F64/DATA!$F$68</f>
      </c>
      <c r="L20">
        <f>DATA!F65/DATA!$F$68</f>
      </c>
      <c r="M20">
        <f>DATA!F66/DATA!$F$68</f>
      </c>
      <c r="N20">
        <f>DATA!F67/DATA!$F$68</f>
      </c>
      <c r="O20">
        <f>IFERROR(DATA!E37/DATA!F73,0)</f>
      </c>
      <c r="P20">
        <f>IFERROR(DATA!E38/DATA!F74,0)</f>
      </c>
      <c r="Q20">
        <f>IFERROR(DATA!E39/DATA!F73,0)</f>
      </c>
    </row>
    <row r="21" spans="1:17">
      <c r="A21"/>
      <c r="D21">
        <f>DATA!H57/DATA!$H$68</f>
      </c>
      <c r="E21">
        <f>DATA!H58/DATA!$H$68</f>
      </c>
      <c r="F21">
        <f>DATA!H59/DATA!$H$68</f>
      </c>
      <c r="G21">
        <f>DATA!H60/DATA!$H$68</f>
      </c>
      <c r="H21">
        <f>DATA!H61/DATA!$H$68</f>
      </c>
      <c r="I21">
        <f>DATA!H62/DATA!$H$68</f>
      </c>
      <c r="J21">
        <f>DATA!H63/DATA!$H$68</f>
      </c>
      <c r="K21">
        <f>DATA!H64/DATA!$H$68</f>
      </c>
      <c r="L21">
        <f>DATA!H65/DATA!$H$68</f>
      </c>
      <c r="M21">
        <f>DATA!H66/DATA!$H$68</f>
      </c>
      <c r="N21">
        <f>DATA!H67/DATA!$H$68</f>
      </c>
      <c r="O21">
        <f>IFERROR(DATA!F37/DATA!H73,0)</f>
      </c>
      <c r="P21">
        <f>IFERROR(DATA!F38/DATA!H74,0)</f>
      </c>
      <c r="Q21">
        <f>IFERROR(DATA!F39/DATA!H73,0)</f>
      </c>
    </row>
    <row r="27" spans="1:17">
      <c r="A27" s="26" t="s">
        <v>303</v>
      </c>
      <c r="B27" s="26" t="s">
        <v>304</v>
      </c>
      <c r="C27" s="26" t="s">
        <v>305</v>
      </c>
      <c r="D27" s="26" t="s">
        <v>306</v>
      </c>
      <c r="E27" s="26" t="s">
        <v>307</v>
      </c>
      <c r="F27" s="26" t="s">
        <v>308</v>
      </c>
      <c r="G27" s="26" t="s">
        <v>309</v>
      </c>
    </row>
    <row r="28" spans="1:17">
      <c r="A28">
        <f>TEXT(DATA!C4, "HH:mm")</f>
      </c>
      <c r="B28" s="110">
        <f>DATA!L4</f>
      </c>
      <c r="C28" s="110">
        <f>DATA!L5</f>
      </c>
      <c r="D28" s="110">
        <f>DATA!L6</f>
      </c>
      <c r="E28">
        <f>DATA!C5</f>
      </c>
      <c r="F28">
        <f>DATA!C6</f>
      </c>
      <c r="G28">
        <f>DATA!C8</f>
      </c>
    </row>
    <row r="39" spans="1:18" ht="16">
      <c r="L39" s="114"/>
    </row>
    <row r="41" spans="1:18" ht="22" thickBot="1">
      <c r="A41" s="26" t="s">
        <v>310</v>
      </c>
      <c r="C41" s="152">
        <f>IF(OR(DATA!B68&lt;&gt;40, DATA!D68&lt;&gt;40, DATA!F68&lt;&gt;40, DATA!H68&lt;&gt;40), "🚨 資料有誤，請檢查 DATA 頁！", "🆗 資料正確")</f>
      </c>
    </row>
    <row r="42" spans="1:18" ht="15" thickBot="1">
      <c r="A42" s="233" t="s">
        <v>311</v>
      </c>
      <c r="B42" s="234"/>
      <c r="C42" s="234"/>
      <c r="D42" s="235"/>
      <c r="E42" s="233" t="s">
        <v>312</v>
      </c>
      <c r="F42" s="234"/>
      <c r="G42" s="234"/>
      <c r="H42" s="235"/>
      <c r="I42" s="233" t="s">
        <v>313</v>
      </c>
      <c r="J42" s="234"/>
      <c r="K42" s="234"/>
      <c r="L42" s="235"/>
      <c r="M42" s="233" t="s">
        <v>314</v>
      </c>
      <c r="N42" s="234"/>
      <c r="O42" s="234"/>
      <c r="P42" s="235"/>
      <c r="Q42" s="146" t="s">
        <v>315</v>
      </c>
      <c r="R42" s="148" t="s">
        <v>316</v>
      </c>
    </row>
    <row r="43" spans="1:18" ht="15" thickBot="1">
      <c r="A43" s="137" t="s">
        <v>186</v>
      </c>
      <c r="B43" s="138"/>
      <c r="C43" s="138"/>
      <c r="D43" s="139"/>
      <c r="E43" s="137" t="s">
        <v>187</v>
      </c>
      <c r="F43" s="138"/>
      <c r="G43" s="138"/>
      <c r="H43" s="139"/>
      <c r="I43" s="137" t="s">
        <v>188</v>
      </c>
      <c r="J43" s="138"/>
      <c r="K43" s="138"/>
      <c r="L43" s="139"/>
      <c r="M43" s="137" t="s">
        <v>189</v>
      </c>
      <c r="N43" s="138"/>
      <c r="O43" s="138"/>
      <c r="P43" s="139"/>
      <c r="Q43" s="147">
        <v>1</v>
      </c>
      <c r="R43" s="149" t="s">
        <v>127</v>
      </c>
    </row>
    <row r="44" spans="1:18" ht="15" thickBot="1">
      <c r="A44" s="140">
        <v>0</v>
      </c>
      <c r="B44" s="141">
        <f>INDEX($R$43:$R$63,MATCH(DATA!B15,$Q$43:$Q$63,0))</f>
      </c>
      <c r="C44" s="150">
        <v>10</v>
      </c>
      <c r="D44" s="141">
        <f>INDEX($R$43:$R$63,MATCH(DATA!D15,$Q$43:$Q$63,0))</f>
      </c>
      <c r="E44" s="142">
        <v>25</v>
      </c>
      <c r="F44" s="141">
        <f>INDEX($R$43:$R$63,MATCH(DATA!F15,$Q$43:$Q$63,0))</f>
      </c>
      <c r="G44" s="150">
        <v>35</v>
      </c>
      <c r="H44" s="141">
        <f>INDEX($R$43:$R$63,MATCH(DATA!H15,$Q$43:$Q$63,0))</f>
      </c>
      <c r="I44" s="142">
        <v>50</v>
      </c>
      <c r="J44" s="141">
        <f>INDEX($R$43:$R$63,MATCH(DATA!J15,$Q$43:$Q$63,0))</f>
      </c>
      <c r="K44" s="150">
        <v>60</v>
      </c>
      <c r="L44" s="141">
        <f>INDEX($R$43:$R$63,MATCH(DATA!L15,$Q$43:$Q$63,0))</f>
      </c>
      <c r="M44" s="140">
        <v>75</v>
      </c>
      <c r="N44" s="141">
        <f>INDEX($R$43:$R$63,MATCH(DATA!N15,$Q$43:$Q$63,0))</f>
      </c>
      <c r="O44" s="143">
        <v>85</v>
      </c>
      <c r="P44" s="141">
        <f>INDEX($R$43:$R$63,MATCH(DATA!P15,$Q$43:$Q$63,0))</f>
      </c>
      <c r="Q44" s="147">
        <v>2</v>
      </c>
      <c r="R44" s="149" t="s">
        <v>128</v>
      </c>
    </row>
    <row r="45" spans="1:18" ht="15" thickBot="1">
      <c r="A45" s="142">
        <v>0.5</v>
      </c>
      <c r="B45" s="141">
        <f>INDEX($R$43:$R$63,MATCH(DATA!B16,$Q$43:$Q$63,0))</f>
      </c>
      <c r="C45" s="150">
        <v>10.5</v>
      </c>
      <c r="D45" s="141">
        <f>INDEX($R$43:$R$63,MATCH(DATA!D16,$Q$43:$Q$63,0))</f>
      </c>
      <c r="E45" s="142">
        <v>25.5</v>
      </c>
      <c r="F45" s="141">
        <f>INDEX($R$43:$R$63,MATCH(DATA!F16,$Q$43:$Q$63,0))</f>
      </c>
      <c r="G45" s="150">
        <v>35.5</v>
      </c>
      <c r="H45" s="141">
        <f>INDEX($R$43:$R$63,MATCH(DATA!H16,$Q$43:$Q$63,0))</f>
      </c>
      <c r="I45" s="142">
        <v>50.5</v>
      </c>
      <c r="J45" s="141">
        <f>INDEX($R$43:$R$63,MATCH(DATA!J16,$Q$43:$Q$63,0))</f>
      </c>
      <c r="K45" s="150">
        <v>60.5</v>
      </c>
      <c r="L45" s="141">
        <f>INDEX($R$43:$R$63,MATCH(DATA!L16,$Q$43:$Q$63,0))</f>
      </c>
      <c r="M45" s="142">
        <v>75.5</v>
      </c>
      <c r="N45" s="141">
        <f>INDEX($R$43:$R$63,MATCH(DATA!N16,$Q$43:$Q$63,0))</f>
      </c>
      <c r="O45" s="150">
        <v>85.5</v>
      </c>
      <c r="P45" s="141">
        <f>INDEX($R$43:$R$63,MATCH(DATA!P16,$Q$43:$Q$63,0))</f>
      </c>
      <c r="Q45" s="147">
        <v>3</v>
      </c>
      <c r="R45" s="149" t="s">
        <v>130</v>
      </c>
    </row>
    <row r="46" spans="1:18" ht="15" thickBot="1">
      <c r="A46" s="142">
        <v>1</v>
      </c>
      <c r="B46" s="141">
        <f>INDEX($R$43:$R$63,MATCH(DATA!B17,$Q$43:$Q$63,0))</f>
      </c>
      <c r="C46" s="150">
        <v>11</v>
      </c>
      <c r="D46" s="141">
        <f>INDEX($R$43:$R$63,MATCH(DATA!D17,$Q$43:$Q$63,0))</f>
      </c>
      <c r="E46" s="142">
        <v>26</v>
      </c>
      <c r="F46" s="141">
        <f>INDEX($R$43:$R$63,MATCH(DATA!F17,$Q$43:$Q$63,0))</f>
      </c>
      <c r="G46" s="150">
        <v>36</v>
      </c>
      <c r="H46" s="141">
        <f>INDEX($R$43:$R$63,MATCH(DATA!H17,$Q$43:$Q$63,0))</f>
      </c>
      <c r="I46" s="142">
        <v>51</v>
      </c>
      <c r="J46" s="141">
        <f>INDEX($R$43:$R$63,MATCH(DATA!J17,$Q$43:$Q$63,0))</f>
      </c>
      <c r="K46" s="150">
        <v>61</v>
      </c>
      <c r="L46" s="141">
        <f>INDEX($R$43:$R$63,MATCH(DATA!L17,$Q$43:$Q$63,0))</f>
      </c>
      <c r="M46" s="142">
        <v>76</v>
      </c>
      <c r="N46" s="141">
        <f>INDEX($R$43:$R$63,MATCH(DATA!N17,$Q$43:$Q$63,0))</f>
      </c>
      <c r="O46" s="150">
        <v>86</v>
      </c>
      <c r="P46" s="141">
        <f>INDEX($R$43:$R$63,MATCH(DATA!P17,$Q$43:$Q$63,0))</f>
      </c>
      <c r="Q46" s="147">
        <v>4</v>
      </c>
      <c r="R46" s="149" t="s">
        <v>131</v>
      </c>
    </row>
    <row r="47" spans="1:18" ht="15" thickBot="1">
      <c r="A47" s="142">
        <v>1.5</v>
      </c>
      <c r="B47" s="141">
        <f>INDEX($R$43:$R$63,MATCH(DATA!B18,$Q$43:$Q$63,0))</f>
      </c>
      <c r="C47" s="150">
        <v>11.5</v>
      </c>
      <c r="D47" s="141">
        <f>INDEX($R$43:$R$63,MATCH(DATA!D18,$Q$43:$Q$63,0))</f>
      </c>
      <c r="E47" s="142">
        <v>26.5</v>
      </c>
      <c r="F47" s="141">
        <f>INDEX($R$43:$R$63,MATCH(DATA!F18,$Q$43:$Q$63,0))</f>
      </c>
      <c r="G47" s="150">
        <v>36.5</v>
      </c>
      <c r="H47" s="141">
        <f>INDEX($R$43:$R$63,MATCH(DATA!H18,$Q$43:$Q$63,0))</f>
      </c>
      <c r="I47" s="142">
        <v>51.5</v>
      </c>
      <c r="J47" s="141">
        <f>INDEX($R$43:$R$63,MATCH(DATA!J18,$Q$43:$Q$63,0))</f>
      </c>
      <c r="K47" s="150">
        <v>61.5</v>
      </c>
      <c r="L47" s="141">
        <f>INDEX($R$43:$R$63,MATCH(DATA!L18,$Q$43:$Q$63,0))</f>
      </c>
      <c r="M47" s="142">
        <v>76.5</v>
      </c>
      <c r="N47" s="141">
        <f>INDEX($R$43:$R$63,MATCH(DATA!N18,$Q$43:$Q$63,0))</f>
      </c>
      <c r="O47" s="150">
        <v>86.5</v>
      </c>
      <c r="P47" s="141">
        <f>INDEX($R$43:$R$63,MATCH(DATA!P18,$Q$43:$Q$63,0))</f>
      </c>
      <c r="Q47" s="147">
        <v>5</v>
      </c>
      <c r="R47" s="149" t="s">
        <v>132</v>
      </c>
    </row>
    <row r="48" spans="1:18" ht="15" thickBot="1">
      <c r="A48" s="142">
        <v>2</v>
      </c>
      <c r="B48" s="141">
        <f>INDEX($R$43:$R$63,MATCH(DATA!B19,$Q$43:$Q$63,0))</f>
      </c>
      <c r="C48" s="150">
        <v>12</v>
      </c>
      <c r="D48" s="141">
        <f>INDEX($R$43:$R$63,MATCH(DATA!D19,$Q$43:$Q$63,0))</f>
      </c>
      <c r="E48" s="142">
        <v>27</v>
      </c>
      <c r="F48" s="141">
        <f>INDEX($R$43:$R$63,MATCH(DATA!F19,$Q$43:$Q$63,0))</f>
      </c>
      <c r="G48" s="150">
        <v>37</v>
      </c>
      <c r="H48" s="141">
        <f>INDEX($R$43:$R$63,MATCH(DATA!H19,$Q$43:$Q$63,0))</f>
      </c>
      <c r="I48" s="142">
        <v>52</v>
      </c>
      <c r="J48" s="141">
        <f>INDEX($R$43:$R$63,MATCH(DATA!J19,$Q$43:$Q$63,0))</f>
      </c>
      <c r="K48" s="150">
        <v>62</v>
      </c>
      <c r="L48" s="141">
        <f>INDEX($R$43:$R$63,MATCH(DATA!L19,$Q$43:$Q$63,0))</f>
      </c>
      <c r="M48" s="142">
        <v>77</v>
      </c>
      <c r="N48" s="141">
        <f>INDEX($R$43:$R$63,MATCH(DATA!N19,$Q$43:$Q$63,0))</f>
      </c>
      <c r="O48" s="150">
        <v>87</v>
      </c>
      <c r="P48" s="141">
        <f>INDEX($R$43:$R$63,MATCH(DATA!P19,$Q$43:$Q$63,0))</f>
      </c>
      <c r="Q48" s="147">
        <v>6</v>
      </c>
      <c r="R48" s="149" t="s">
        <v>133</v>
      </c>
    </row>
    <row r="49" spans="1:18" ht="15" thickBot="1">
      <c r="A49" s="142">
        <v>2.5</v>
      </c>
      <c r="B49" s="141">
        <f>INDEX($R$43:$R$63,MATCH(DATA!B20,$Q$43:$Q$63,0))</f>
      </c>
      <c r="C49" s="150">
        <v>12.5</v>
      </c>
      <c r="D49" s="141">
        <f>INDEX($R$43:$R$63,MATCH(DATA!D20,$Q$43:$Q$63,0))</f>
      </c>
      <c r="E49" s="142">
        <v>27.5</v>
      </c>
      <c r="F49" s="141">
        <f>INDEX($R$43:$R$63,MATCH(DATA!F20,$Q$43:$Q$63,0))</f>
      </c>
      <c r="G49" s="150">
        <v>37.5</v>
      </c>
      <c r="H49" s="141">
        <f>INDEX($R$43:$R$63,MATCH(DATA!H20,$Q$43:$Q$63,0))</f>
      </c>
      <c r="I49" s="142">
        <v>52.5</v>
      </c>
      <c r="J49" s="141">
        <f>INDEX($R$43:$R$63,MATCH(DATA!J20,$Q$43:$Q$63,0))</f>
      </c>
      <c r="K49" s="150">
        <v>62.5</v>
      </c>
      <c r="L49" s="141">
        <f>INDEX($R$43:$R$63,MATCH(DATA!L20,$Q$43:$Q$63,0))</f>
      </c>
      <c r="M49" s="142">
        <v>77.5</v>
      </c>
      <c r="N49" s="141">
        <f>INDEX($R$43:$R$63,MATCH(DATA!N20,$Q$43:$Q$63,0))</f>
      </c>
      <c r="O49" s="150">
        <v>87.5</v>
      </c>
      <c r="P49" s="141">
        <f>INDEX($R$43:$R$63,MATCH(DATA!P20,$Q$43:$Q$63,0))</f>
      </c>
      <c r="Q49" s="147">
        <v>7</v>
      </c>
      <c r="R49" s="149" t="s">
        <v>134</v>
      </c>
    </row>
    <row r="50" spans="1:18" ht="15" thickBot="1">
      <c r="A50" s="142">
        <v>3</v>
      </c>
      <c r="B50" s="141">
        <f>INDEX($R$43:$R$63,MATCH(DATA!B21,$Q$43:$Q$63,0))</f>
      </c>
      <c r="C50" s="150">
        <v>13</v>
      </c>
      <c r="D50" s="141">
        <f>INDEX($R$43:$R$63,MATCH(DATA!D21,$Q$43:$Q$63,0))</f>
      </c>
      <c r="E50" s="142">
        <v>28</v>
      </c>
      <c r="F50" s="141">
        <f>INDEX($R$43:$R$63,MATCH(DATA!F21,$Q$43:$Q$63,0))</f>
      </c>
      <c r="G50" s="150">
        <v>38</v>
      </c>
      <c r="H50" s="141">
        <f>INDEX($R$43:$R$63,MATCH(DATA!H21,$Q$43:$Q$63,0))</f>
      </c>
      <c r="I50" s="142">
        <v>53</v>
      </c>
      <c r="J50" s="141">
        <f>INDEX($R$43:$R$63,MATCH(DATA!J21,$Q$43:$Q$63,0))</f>
      </c>
      <c r="K50" s="150">
        <v>63</v>
      </c>
      <c r="L50" s="141">
        <f>INDEX($R$43:$R$63,MATCH(DATA!L21,$Q$43:$Q$63,0))</f>
      </c>
      <c r="M50" s="142">
        <v>78</v>
      </c>
      <c r="N50" s="141">
        <f>INDEX($R$43:$R$63,MATCH(DATA!N21,$Q$43:$Q$63,0))</f>
      </c>
      <c r="O50" s="150">
        <v>88</v>
      </c>
      <c r="P50" s="141">
        <f>INDEX($R$43:$R$63,MATCH(DATA!P21,$Q$43:$Q$63,0))</f>
      </c>
      <c r="Q50" s="147">
        <v>8</v>
      </c>
      <c r="R50" s="149" t="s">
        <v>135</v>
      </c>
    </row>
    <row r="51" spans="1:18" ht="15" thickBot="1">
      <c r="A51" s="142">
        <v>3.5</v>
      </c>
      <c r="B51" s="141">
        <f>INDEX($R$43:$R$63,MATCH(DATA!B22,$Q$43:$Q$63,0))</f>
      </c>
      <c r="C51" s="150">
        <v>13.5</v>
      </c>
      <c r="D51" s="141">
        <f>INDEX($R$43:$R$63,MATCH(DATA!D22,$Q$43:$Q$63,0))</f>
      </c>
      <c r="E51" s="142">
        <v>28.5</v>
      </c>
      <c r="F51" s="141">
        <f>INDEX($R$43:$R$63,MATCH(DATA!F22,$Q$43:$Q$63,0))</f>
      </c>
      <c r="G51" s="150">
        <v>38.5</v>
      </c>
      <c r="H51" s="141">
        <f>INDEX($R$43:$R$63,MATCH(DATA!H22,$Q$43:$Q$63,0))</f>
      </c>
      <c r="I51" s="142">
        <v>53.5</v>
      </c>
      <c r="J51" s="141">
        <f>INDEX($R$43:$R$63,MATCH(DATA!J22,$Q$43:$Q$63,0))</f>
      </c>
      <c r="K51" s="150">
        <v>63.5</v>
      </c>
      <c r="L51" s="141">
        <f>INDEX($R$43:$R$63,MATCH(DATA!L22,$Q$43:$Q$63,0))</f>
      </c>
      <c r="M51" s="142">
        <v>78.5</v>
      </c>
      <c r="N51" s="141">
        <f>INDEX($R$43:$R$63,MATCH(DATA!N22,$Q$43:$Q$63,0))</f>
      </c>
      <c r="O51" s="150">
        <v>88.5</v>
      </c>
      <c r="P51" s="141">
        <f>INDEX($R$43:$R$63,MATCH(DATA!P22,$Q$43:$Q$63,0))</f>
      </c>
      <c r="Q51" s="147">
        <v>9</v>
      </c>
      <c r="R51" s="149" t="s">
        <v>136</v>
      </c>
    </row>
    <row r="52" spans="1:18" ht="15" thickBot="1">
      <c r="A52" s="142">
        <v>4</v>
      </c>
      <c r="B52" s="141">
        <f>INDEX($R$43:$R$63,MATCH(DATA!B23,$Q$43:$Q$63,0))</f>
      </c>
      <c r="C52" s="150">
        <v>14</v>
      </c>
      <c r="D52" s="141">
        <f>INDEX($R$43:$R$63,MATCH(DATA!D23,$Q$43:$Q$63,0))</f>
      </c>
      <c r="E52" s="142">
        <v>29</v>
      </c>
      <c r="F52" s="141">
        <f>INDEX($R$43:$R$63,MATCH(DATA!F23,$Q$43:$Q$63,0))</f>
      </c>
      <c r="G52" s="150">
        <v>39</v>
      </c>
      <c r="H52" s="141">
        <f>INDEX($R$43:$R$63,MATCH(DATA!H23,$Q$43:$Q$63,0))</f>
      </c>
      <c r="I52" s="142">
        <v>54</v>
      </c>
      <c r="J52" s="141">
        <f>INDEX($R$43:$R$63,MATCH(DATA!J23,$Q$43:$Q$63,0))</f>
      </c>
      <c r="K52" s="150">
        <v>64</v>
      </c>
      <c r="L52" s="141">
        <f>INDEX($R$43:$R$63,MATCH(DATA!L23,$Q$43:$Q$63,0))</f>
      </c>
      <c r="M52" s="142">
        <v>79</v>
      </c>
      <c r="N52" s="141">
        <f>INDEX($R$43:$R$63,MATCH(DATA!N23,$Q$43:$Q$63,0))</f>
      </c>
      <c r="O52" s="150">
        <v>89</v>
      </c>
      <c r="P52" s="141">
        <f>INDEX($R$43:$R$63,MATCH(DATA!P23,$Q$43:$Q$63,0))</f>
      </c>
      <c r="Q52" s="147">
        <v>0</v>
      </c>
      <c r="R52" s="149" t="s">
        <v>137</v>
      </c>
    </row>
    <row r="53" spans="1:18" ht="15" thickBot="1">
      <c r="A53" s="142">
        <v>4.5</v>
      </c>
      <c r="B53" s="141">
        <f>INDEX($R$43:$R$63,MATCH(DATA!B24,$Q$43:$Q$63,0))</f>
      </c>
      <c r="C53" s="150">
        <v>14.5</v>
      </c>
      <c r="D53" s="141">
        <f>INDEX($R$43:$R$63,MATCH(DATA!D24,$Q$43:$Q$63,0))</f>
      </c>
      <c r="E53" s="142">
        <v>29.5</v>
      </c>
      <c r="F53" s="141">
        <f>INDEX($R$43:$R$63,MATCH(DATA!F24,$Q$43:$Q$63,0))</f>
      </c>
      <c r="G53" s="150">
        <v>39.5</v>
      </c>
      <c r="H53" s="141">
        <f>INDEX($R$43:$R$63,MATCH(DATA!H24,$Q$43:$Q$63,0))</f>
      </c>
      <c r="I53" s="142">
        <v>54.5</v>
      </c>
      <c r="J53" s="141">
        <f>INDEX($R$43:$R$63,MATCH(DATA!J24,$Q$43:$Q$63,0))</f>
      </c>
      <c r="K53" s="150">
        <v>64.5</v>
      </c>
      <c r="L53" s="141">
        <f>INDEX($R$43:$R$63,MATCH(DATA!L24,$Q$43:$Q$63,0))</f>
      </c>
      <c r="M53" s="142">
        <v>79.5</v>
      </c>
      <c r="N53" s="141">
        <f>INDEX($R$43:$R$63,MATCH(DATA!N24,$Q$43:$Q$63,0))</f>
      </c>
      <c r="O53" s="150">
        <v>89.5</v>
      </c>
      <c r="P53" s="141">
        <f>INDEX($R$43:$R$63,MATCH(DATA!P24,$Q$43:$Q$63,0))</f>
      </c>
      <c r="Q53" s="147" t="s">
        <v>176</v>
      </c>
      <c r="R53" s="149" t="s">
        <v>127</v>
      </c>
    </row>
    <row r="54" spans="1:18" ht="15" thickBot="1">
      <c r="A54" s="142">
        <v>5</v>
      </c>
      <c r="B54" s="141">
        <f>INDEX($R$43:$R$63,MATCH(DATA!B25,$Q$43:$Q$63,0))</f>
      </c>
      <c r="C54" s="150">
        <v>15</v>
      </c>
      <c r="D54" s="141">
        <f>INDEX($R$43:$R$63,MATCH(DATA!D25,$Q$43:$Q$63,0))</f>
      </c>
      <c r="E54" s="142">
        <v>30</v>
      </c>
      <c r="F54" s="141">
        <f>INDEX($R$43:$R$63,MATCH(DATA!F25,$Q$43:$Q$63,0))</f>
      </c>
      <c r="G54" s="150">
        <v>40</v>
      </c>
      <c r="H54" s="141">
        <f>INDEX($R$43:$R$63,MATCH(DATA!H25,$Q$43:$Q$63,0))</f>
      </c>
      <c r="I54" s="142">
        <v>55</v>
      </c>
      <c r="J54" s="141">
        <f>INDEX($R$43:$R$63,MATCH(DATA!J25,$Q$43:$Q$63,0))</f>
      </c>
      <c r="K54" s="150">
        <v>65</v>
      </c>
      <c r="L54" s="141">
        <f>INDEX($R$43:$R$63,MATCH(DATA!L25,$Q$43:$Q$63,0))</f>
      </c>
      <c r="M54" s="142">
        <v>80</v>
      </c>
      <c r="N54" s="141">
        <f>INDEX($R$43:$R$63,MATCH(DATA!N25,$Q$43:$Q$63,0))</f>
      </c>
      <c r="O54" s="150">
        <v>90</v>
      </c>
      <c r="P54" s="141">
        <f>INDEX($R$43:$R$63,MATCH(DATA!P25,$Q$43:$Q$63,0))</f>
      </c>
      <c r="Q54" s="147" t="s">
        <v>183</v>
      </c>
      <c r="R54" s="149" t="s">
        <v>127</v>
      </c>
    </row>
    <row r="55" spans="1:18" ht="15" thickBot="1">
      <c r="A55" s="142">
        <v>5.5</v>
      </c>
      <c r="B55" s="141">
        <f>INDEX($R$43:$R$63,MATCH(DATA!B26,$Q$43:$Q$63,0))</f>
      </c>
      <c r="C55" s="150">
        <v>15.5</v>
      </c>
      <c r="D55" s="141">
        <f>INDEX($R$43:$R$63,MATCH(DATA!D26,$Q$43:$Q$63,0))</f>
      </c>
      <c r="E55" s="142">
        <v>30.5</v>
      </c>
      <c r="F55" s="141">
        <f>INDEX($R$43:$R$63,MATCH(DATA!F26,$Q$43:$Q$63,0))</f>
      </c>
      <c r="G55" s="150">
        <v>40.5</v>
      </c>
      <c r="H55" s="141">
        <f>INDEX($R$43:$R$63,MATCH(DATA!H26,$Q$43:$Q$63,0))</f>
      </c>
      <c r="I55" s="142">
        <v>55.5</v>
      </c>
      <c r="J55" s="141">
        <f>INDEX($R$43:$R$63,MATCH(DATA!J26,$Q$43:$Q$63,0))</f>
      </c>
      <c r="K55" s="150">
        <v>65.5</v>
      </c>
      <c r="L55" s="141">
        <f>INDEX($R$43:$R$63,MATCH(DATA!L26,$Q$43:$Q$63,0))</f>
      </c>
      <c r="M55" s="142">
        <v>80.5</v>
      </c>
      <c r="N55" s="141">
        <f>INDEX($R$43:$R$63,MATCH(DATA!N26,$Q$43:$Q$63,0))</f>
      </c>
      <c r="O55" s="150">
        <v>90.5</v>
      </c>
      <c r="P55" s="141">
        <f>INDEX($R$43:$R$63,MATCH(DATA!P26,$Q$43:$Q$63,0))</f>
      </c>
      <c r="Q55" s="147" t="s">
        <v>190</v>
      </c>
      <c r="R55" s="149" t="s">
        <v>127</v>
      </c>
    </row>
    <row r="56" spans="1:18" ht="15" thickBot="1">
      <c r="A56" s="142">
        <v>6</v>
      </c>
      <c r="B56" s="141">
        <f>INDEX($R$43:$R$63,MATCH(DATA!B27,$Q$43:$Q$63,0))</f>
      </c>
      <c r="C56" s="150">
        <v>16</v>
      </c>
      <c r="D56" s="141">
        <f>INDEX($R$43:$R$63,MATCH(DATA!D27,$Q$43:$Q$63,0))</f>
      </c>
      <c r="E56" s="142">
        <v>31</v>
      </c>
      <c r="F56" s="141">
        <f>INDEX($R$43:$R$63,MATCH(DATA!F27,$Q$43:$Q$63,0))</f>
      </c>
      <c r="G56" s="150">
        <v>41</v>
      </c>
      <c r="H56" s="141">
        <f>INDEX($R$43:$R$63,MATCH(DATA!H27,$Q$43:$Q$63,0))</f>
      </c>
      <c r="I56" s="142">
        <v>56</v>
      </c>
      <c r="J56" s="141">
        <f>INDEX($R$43:$R$63,MATCH(DATA!J27,$Q$43:$Q$63,0))</f>
      </c>
      <c r="K56" s="150">
        <v>66</v>
      </c>
      <c r="L56" s="141">
        <f>INDEX($R$43:$R$63,MATCH(DATA!L27,$Q$43:$Q$63,0))</f>
      </c>
      <c r="M56" s="142">
        <v>81</v>
      </c>
      <c r="N56" s="141">
        <f>INDEX($R$43:$R$63,MATCH(DATA!N27,$Q$43:$Q$63,0))</f>
      </c>
      <c r="O56" s="150">
        <v>91</v>
      </c>
      <c r="P56" s="141">
        <f>INDEX($R$43:$R$63,MATCH(DATA!P27,$Q$43:$Q$63,0))</f>
      </c>
      <c r="Q56" s="147">
        <v>91</v>
      </c>
      <c r="R56" s="149" t="s">
        <v>136</v>
      </c>
    </row>
    <row r="57" spans="1:18" ht="15" thickBot="1">
      <c r="A57" s="142">
        <v>6.5</v>
      </c>
      <c r="B57" s="141">
        <f>INDEX($R$43:$R$63,MATCH(DATA!B28,$Q$43:$Q$63,0))</f>
      </c>
      <c r="C57" s="150">
        <v>16.5</v>
      </c>
      <c r="D57" s="141">
        <f>INDEX($R$43:$R$63,MATCH(DATA!D28,$Q$43:$Q$63,0))</f>
      </c>
      <c r="E57" s="142">
        <v>31.5</v>
      </c>
      <c r="F57" s="141">
        <f>INDEX($R$43:$R$63,MATCH(DATA!F28,$Q$43:$Q$63,0))</f>
      </c>
      <c r="G57" s="150">
        <v>41.5</v>
      </c>
      <c r="H57" s="141">
        <f>INDEX($R$43:$R$63,MATCH(DATA!H28,$Q$43:$Q$63,0))</f>
      </c>
      <c r="I57" s="142">
        <v>56.5</v>
      </c>
      <c r="J57" s="141">
        <f>INDEX($R$43:$R$63,MATCH(DATA!J28,$Q$43:$Q$63,0))</f>
      </c>
      <c r="K57" s="150">
        <v>66.5</v>
      </c>
      <c r="L57" s="141">
        <f>INDEX($R$43:$R$63,MATCH(DATA!L28,$Q$43:$Q$63,0))</f>
      </c>
      <c r="M57" s="142">
        <v>81.5</v>
      </c>
      <c r="N57" s="141">
        <f>INDEX($R$43:$R$63,MATCH(DATA!N28,$Q$43:$Q$63,0))</f>
      </c>
      <c r="O57" s="150">
        <v>91.5</v>
      </c>
      <c r="P57" s="141">
        <f>INDEX($R$43:$R$63,MATCH(DATA!P28,$Q$43:$Q$63,0))</f>
      </c>
      <c r="Q57" s="147">
        <v>92</v>
      </c>
      <c r="R57" s="149" t="s">
        <v>136</v>
      </c>
    </row>
    <row r="58" spans="1:18" ht="15" thickBot="1">
      <c r="A58" s="142">
        <v>7</v>
      </c>
      <c r="B58" s="141">
        <f>INDEX($R$43:$R$63,MATCH(DATA!B29,$Q$43:$Q$63,0))</f>
      </c>
      <c r="C58" s="150">
        <v>17</v>
      </c>
      <c r="D58" s="141">
        <f>INDEX($R$43:$R$63,MATCH(DATA!D29,$Q$43:$Q$63,0))</f>
      </c>
      <c r="E58" s="142">
        <v>32</v>
      </c>
      <c r="F58" s="141">
        <f>INDEX($R$43:$R$63,MATCH(DATA!F29,$Q$43:$Q$63,0))</f>
      </c>
      <c r="G58" s="150">
        <v>42</v>
      </c>
      <c r="H58" s="141">
        <f>INDEX($R$43:$R$63,MATCH(DATA!H29,$Q$43:$Q$63,0))</f>
      </c>
      <c r="I58" s="142">
        <v>57</v>
      </c>
      <c r="J58" s="141">
        <f>INDEX($R$43:$R$63,MATCH(DATA!J29,$Q$43:$Q$63,0))</f>
      </c>
      <c r="K58" s="150">
        <v>67</v>
      </c>
      <c r="L58" s="141">
        <f>INDEX($R$43:$R$63,MATCH(DATA!L29,$Q$43:$Q$63,0))</f>
      </c>
      <c r="M58" s="142">
        <v>82</v>
      </c>
      <c r="N58" s="141">
        <f>INDEX($R$43:$R$63,MATCH(DATA!N29,$Q$43:$Q$63,0))</f>
      </c>
      <c r="O58" s="150">
        <v>92</v>
      </c>
      <c r="P58" s="141">
        <f>INDEX($R$43:$R$63,MATCH(DATA!P29,$Q$43:$Q$63,0))</f>
      </c>
      <c r="Q58" s="147">
        <v>93</v>
      </c>
      <c r="R58" s="149" t="s">
        <v>136</v>
      </c>
    </row>
    <row r="59" spans="1:18" ht="15" thickBot="1">
      <c r="A59" s="142">
        <v>7.5</v>
      </c>
      <c r="B59" s="141">
        <f>INDEX($R$43:$R$63,MATCH(DATA!B30,$Q$43:$Q$63,0))</f>
      </c>
      <c r="C59" s="150">
        <v>17.5</v>
      </c>
      <c r="D59" s="141">
        <f>INDEX($R$43:$R$63,MATCH(DATA!D30,$Q$43:$Q$63,0))</f>
      </c>
      <c r="E59" s="142">
        <v>32.5</v>
      </c>
      <c r="F59" s="141">
        <f>INDEX($R$43:$R$63,MATCH(DATA!F30,$Q$43:$Q$63,0))</f>
      </c>
      <c r="G59" s="150">
        <v>42.5</v>
      </c>
      <c r="H59" s="141">
        <f>INDEX($R$43:$R$63,MATCH(DATA!H30,$Q$43:$Q$63,0))</f>
      </c>
      <c r="I59" s="142">
        <v>57.5</v>
      </c>
      <c r="J59" s="141">
        <f>INDEX($R$43:$R$63,MATCH(DATA!J30,$Q$43:$Q$63,0))</f>
      </c>
      <c r="K59" s="150">
        <v>67.5</v>
      </c>
      <c r="L59" s="141">
        <f>INDEX($R$43:$R$63,MATCH(DATA!L30,$Q$43:$Q$63,0))</f>
      </c>
      <c r="M59" s="142">
        <v>82.5</v>
      </c>
      <c r="N59" s="141">
        <f>INDEX($R$43:$R$63,MATCH(DATA!N30,$Q$43:$Q$63,0))</f>
      </c>
      <c r="O59" s="150">
        <v>92.5</v>
      </c>
      <c r="P59" s="141">
        <f>INDEX($R$43:$R$63,MATCH(DATA!P30,$Q$43:$Q$63,0))</f>
      </c>
      <c r="Q59" s="147">
        <v>94</v>
      </c>
      <c r="R59" s="149" t="s">
        <v>136</v>
      </c>
    </row>
    <row r="60" spans="1:18" ht="15" thickBot="1">
      <c r="A60" s="142">
        <v>8</v>
      </c>
      <c r="B60" s="141">
        <f>INDEX($R$43:$R$63,MATCH(DATA!B31,$Q$43:$Q$63,0))</f>
      </c>
      <c r="C60" s="150">
        <v>18</v>
      </c>
      <c r="D60" s="141">
        <f>INDEX($R$43:$R$63,MATCH(DATA!D31,$Q$43:$Q$63,0))</f>
      </c>
      <c r="E60" s="142">
        <v>33</v>
      </c>
      <c r="F60" s="141">
        <f>INDEX($R$43:$R$63,MATCH(DATA!F31,$Q$43:$Q$63,0))</f>
      </c>
      <c r="G60" s="150">
        <v>43</v>
      </c>
      <c r="H60" s="141">
        <f>INDEX($R$43:$R$63,MATCH(DATA!H31,$Q$43:$Q$63,0))</f>
      </c>
      <c r="I60" s="142">
        <v>58</v>
      </c>
      <c r="J60" s="141">
        <f>INDEX($R$43:$R$63,MATCH(DATA!J31,$Q$43:$Q$63,0))</f>
      </c>
      <c r="K60" s="150">
        <v>68</v>
      </c>
      <c r="L60" s="141">
        <f>INDEX($R$43:$R$63,MATCH(DATA!L31,$Q$43:$Q$63,0))</f>
      </c>
      <c r="M60" s="142">
        <v>83</v>
      </c>
      <c r="N60" s="141">
        <f>INDEX($R$43:$R$63,MATCH(DATA!N31,$Q$43:$Q$63,0))</f>
      </c>
      <c r="O60" s="150">
        <v>93</v>
      </c>
      <c r="P60" s="141">
        <f>INDEX($R$43:$R$63,MATCH(DATA!P31,$Q$43:$Q$63,0))</f>
      </c>
      <c r="Q60" s="147">
        <v>95</v>
      </c>
      <c r="R60" s="149" t="s">
        <v>136</v>
      </c>
    </row>
    <row r="61" spans="1:18" ht="15" thickBot="1">
      <c r="A61" s="142">
        <v>8.5</v>
      </c>
      <c r="B61" s="141">
        <f>INDEX($R$43:$R$63,MATCH(DATA!B32,$Q$43:$Q$63,0))</f>
      </c>
      <c r="C61" s="150">
        <v>18.5</v>
      </c>
      <c r="D61" s="141">
        <f>INDEX($R$43:$R$63,MATCH(DATA!D32,$Q$43:$Q$63,0))</f>
      </c>
      <c r="E61" s="142">
        <v>33.5</v>
      </c>
      <c r="F61" s="141">
        <f>INDEX($R$43:$R$63,MATCH(DATA!F32,$Q$43:$Q$63,0))</f>
      </c>
      <c r="G61" s="150">
        <v>43.5</v>
      </c>
      <c r="H61" s="141">
        <f>INDEX($R$43:$R$63,MATCH(DATA!H32,$Q$43:$Q$63,0))</f>
      </c>
      <c r="I61" s="142">
        <v>58.5</v>
      </c>
      <c r="J61" s="141">
        <f>INDEX($R$43:$R$63,MATCH(DATA!J32,$Q$43:$Q$63,0))</f>
      </c>
      <c r="K61" s="150">
        <v>68.5</v>
      </c>
      <c r="L61" s="141">
        <f>INDEX($R$43:$R$63,MATCH(DATA!L32,$Q$43:$Q$63,0))</f>
      </c>
      <c r="M61" s="142">
        <v>83.5</v>
      </c>
      <c r="N61" s="141">
        <f>INDEX($R$43:$R$63,MATCH(DATA!N32,$Q$43:$Q$63,0))</f>
      </c>
      <c r="O61" s="150">
        <v>93.5</v>
      </c>
      <c r="P61" s="141">
        <f>INDEX($R$43:$R$63,MATCH(DATA!P32,$Q$43:$Q$63,0))</f>
      </c>
      <c r="Q61" s="147">
        <v>96</v>
      </c>
      <c r="R61" s="149" t="s">
        <v>136</v>
      </c>
    </row>
    <row r="62" spans="1:18" ht="15" thickBot="1">
      <c r="A62" s="142">
        <v>9</v>
      </c>
      <c r="B62" s="141">
        <f>INDEX($R$43:$R$63,MATCH(DATA!B33,$Q$43:$Q$63,0))</f>
      </c>
      <c r="C62" s="150">
        <v>19</v>
      </c>
      <c r="D62" s="141">
        <f>INDEX($R$43:$R$63,MATCH(DATA!D33,$Q$43:$Q$63,0))</f>
      </c>
      <c r="E62" s="142">
        <v>34</v>
      </c>
      <c r="F62" s="141">
        <f>INDEX($R$43:$R$63,MATCH(DATA!F33,$Q$43:$Q$63,0))</f>
      </c>
      <c r="G62" s="150">
        <v>44</v>
      </c>
      <c r="H62" s="141">
        <f>INDEX($R$43:$R$63,MATCH(DATA!H33,$Q$43:$Q$63,0))</f>
      </c>
      <c r="I62" s="142">
        <v>59</v>
      </c>
      <c r="J62" s="141">
        <f>INDEX($R$43:$R$63,MATCH(DATA!J33,$Q$43:$Q$63,0))</f>
      </c>
      <c r="K62" s="150">
        <v>69</v>
      </c>
      <c r="L62" s="141">
        <f>INDEX($R$43:$R$63,MATCH(DATA!L33,$Q$43:$Q$63,0))</f>
      </c>
      <c r="M62" s="142">
        <v>84</v>
      </c>
      <c r="N62" s="141">
        <f>INDEX($R$43:$R$63,MATCH(DATA!N33,$Q$43:$Q$63,0))</f>
      </c>
      <c r="O62" s="150">
        <v>94</v>
      </c>
      <c r="P62" s="141">
        <f>INDEX($R$43:$R$63,MATCH(DATA!P33,$Q$43:$Q$63,0))</f>
      </c>
      <c r="Q62" s="147">
        <v>97</v>
      </c>
      <c r="R62" s="149" t="s">
        <v>136</v>
      </c>
    </row>
    <row r="63" spans="1:18" ht="15" thickBot="1">
      <c r="A63" s="144">
        <v>9.5</v>
      </c>
      <c r="B63" s="151">
        <f>INDEX($R$43:$R$63,MATCH(DATA!B34,$Q$43:$Q$63,0))</f>
      </c>
      <c r="C63" s="145">
        <v>19.5</v>
      </c>
      <c r="D63" s="151">
        <f>INDEX($R$43:$R$63,MATCH(DATA!D34,$Q$43:$Q$63,0))</f>
      </c>
      <c r="E63" s="144">
        <v>34.5</v>
      </c>
      <c r="F63" s="151">
        <f>INDEX($R$43:$R$63,MATCH(DATA!F34,$Q$43:$Q$63,0))</f>
      </c>
      <c r="G63" s="145">
        <v>44.5</v>
      </c>
      <c r="H63" s="151">
        <f>INDEX($R$43:$R$63,MATCH(DATA!H34,$Q$43:$Q$63,0))</f>
      </c>
      <c r="I63" s="144">
        <v>59.5</v>
      </c>
      <c r="J63" s="151">
        <f>INDEX($R$43:$R$63,MATCH(DATA!J34,$Q$43:$Q$63,0))</f>
      </c>
      <c r="K63" s="145">
        <v>69.5</v>
      </c>
      <c r="L63" s="151">
        <f>INDEX($R$43:$R$63,MATCH(DATA!L34,$Q$43:$Q$63,0))</f>
      </c>
      <c r="M63" s="144">
        <v>84.5</v>
      </c>
      <c r="N63" s="151">
        <f>INDEX($R$43:$R$63,MATCH(DATA!N34,$Q$43:$Q$63,0))</f>
      </c>
      <c r="O63" s="145">
        <v>94.5</v>
      </c>
      <c r="P63" s="151">
        <f>INDEX($R$43:$R$63,MATCH(DATA!P34,$Q$43:$Q$63,0))</f>
      </c>
      <c r="Q63" s="147">
        <v>98</v>
      </c>
      <c r="R63" s="149" t="s">
        <v>136</v>
      </c>
    </row>
  </sheetData>
  <sheetProtection sheet="1" objects="1" scenarios="1"/>
  <mergeCells count="4">
    <mergeCell ref="A42:D42"/>
    <mergeCell ref="E42:H42"/>
    <mergeCell ref="I42:L42"/>
    <mergeCell ref="M42:P42"/>
  </mergeCells>
  <phoneticPr fontId="16" type="noConversion"/>
  <pageMargins left="0.78749999999999998" right="0.78749999999999998" top="1.05277777777778" bottom="1.05277777777778" header="0.78749999999999998" footer="0.78749999999999998"/>
  <pageSetup paperSize="9" firstPageNumber="0" orientation="portrait" horizontalDpi="0" verticalDpi="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6524-6A6F-4F21-9DCD-DAF109B3D71C}">
  <sheetPr codeName="工作表5"/>
  <dimension ref="A1:A56"/>
  <sheetViews>
    <sheetView topLeftCell="A34" workbookViewId="0">
      <selection activeCell="B52" sqref="B52"/>
    </sheetView>
  </sheetViews>
  <sheetFormatPr baseColWidth="10" defaultColWidth="8.83203125" defaultRowHeight="16"/>
  <cols>
    <col min="1" max="1" width="133.5" style="22" customWidth="1"/>
    <col min="2" max="16384" width="8.83203125" style="23"/>
  </cols>
  <sheetData>
    <row r="1" spans="1:1" ht="17">
      <c r="A1" s="31" t="s">
        <v>0</v>
      </c>
    </row>
    <row r="2" spans="1:1" ht="17">
      <c r="A2" s="22" t="s">
        <v>1</v>
      </c>
    </row>
    <row r="4" spans="1:1" ht="17">
      <c r="A4" s="22" t="s">
        <v>2</v>
      </c>
    </row>
    <row r="6" spans="1:1" ht="17">
      <c r="A6" s="21" t="s">
        <v>3</v>
      </c>
    </row>
    <row r="7" spans="1:1" ht="19">
      <c r="A7" s="22" t="s">
        <v>4</v>
      </c>
    </row>
    <row r="9" spans="1:1" ht="17">
      <c r="A9" s="22" t="s">
        <v>5</v>
      </c>
    </row>
    <row r="11" spans="1:1" ht="17">
      <c r="A11" s="21" t="s">
        <v>6</v>
      </c>
    </row>
    <row r="12" spans="1:1" ht="19">
      <c r="A12" s="22" t="s">
        <v>7</v>
      </c>
    </row>
    <row r="16" spans="1:1" ht="17">
      <c r="A16" s="31" t="s">
        <v>8</v>
      </c>
    </row>
    <row r="17" spans="1:1" ht="17">
      <c r="A17" s="32" t="s">
        <v>9</v>
      </c>
    </row>
    <row r="18" spans="1:1" ht="17">
      <c r="A18" s="34" t="s">
        <v>10</v>
      </c>
    </row>
    <row r="19" spans="1:1" ht="17">
      <c r="A19" s="22" t="s">
        <v>11</v>
      </c>
    </row>
    <row r="20" spans="1:1" ht="17">
      <c r="A20" s="22" t="s">
        <v>12</v>
      </c>
    </row>
    <row r="22" spans="1:1" ht="17">
      <c r="A22" s="31" t="s">
        <v>13</v>
      </c>
    </row>
    <row r="23" spans="1:1" ht="17">
      <c r="A23" s="22" t="s">
        <v>14</v>
      </c>
    </row>
    <row r="24" spans="1:1" ht="34">
      <c r="A24" s="24" t="s">
        <v>15</v>
      </c>
    </row>
    <row r="25" spans="1:1" ht="19">
      <c r="A25" s="24" t="s">
        <v>16</v>
      </c>
    </row>
    <row r="26" spans="1:1">
      <c r="A26" s="24"/>
    </row>
    <row r="27" spans="1:1" ht="17">
      <c r="A27" s="35" t="s">
        <v>17</v>
      </c>
    </row>
    <row r="28" spans="1:1" ht="17">
      <c r="A28" s="24" t="s">
        <v>18</v>
      </c>
    </row>
    <row r="29" spans="1:1" ht="17">
      <c r="A29" s="24" t="s">
        <v>19</v>
      </c>
    </row>
    <row r="30" spans="1:1" ht="17">
      <c r="A30" s="24" t="s">
        <v>20</v>
      </c>
    </row>
    <row r="31" spans="1:1" ht="17">
      <c r="A31" s="24" t="s">
        <v>21</v>
      </c>
    </row>
    <row r="32" spans="1:1" ht="17">
      <c r="A32" s="24" t="s">
        <v>22</v>
      </c>
    </row>
    <row r="33" spans="1:1" ht="17">
      <c r="A33" s="24" t="s">
        <v>23</v>
      </c>
    </row>
    <row r="34" spans="1:1">
      <c r="A34" s="24"/>
    </row>
    <row r="35" spans="1:1" ht="17">
      <c r="A35" s="24" t="s">
        <v>24</v>
      </c>
    </row>
    <row r="37" spans="1:1" ht="17">
      <c r="A37" s="22" t="s">
        <v>25</v>
      </c>
    </row>
    <row r="40" spans="1:1" ht="17">
      <c r="A40" s="31" t="s">
        <v>26</v>
      </c>
    </row>
    <row r="41" spans="1:1" ht="105.75" customHeight="1">
      <c r="A41" s="22" t="s">
        <v>27</v>
      </c>
    </row>
    <row r="43" spans="1:1" ht="62" customHeight="1">
      <c r="A43" s="22" t="s">
        <v>28</v>
      </c>
    </row>
    <row r="45" spans="1:1" ht="60" customHeight="1">
      <c r="A45" s="22" t="s">
        <v>29</v>
      </c>
    </row>
    <row r="47" spans="1:1" ht="75.75" customHeight="1">
      <c r="A47" s="22" t="s">
        <v>30</v>
      </c>
    </row>
    <row r="49" spans="1:1" ht="32" customHeight="1">
      <c r="A49" s="22" t="s">
        <v>31</v>
      </c>
    </row>
    <row r="50" spans="1:1">
      <c r="A50" s="21"/>
    </row>
    <row r="51" spans="1:1" ht="17">
      <c r="A51" s="21" t="s">
        <v>32</v>
      </c>
    </row>
    <row r="52" spans="1:1" ht="33" customHeight="1">
      <c r="A52" s="22" t="s">
        <v>33</v>
      </c>
    </row>
    <row r="54" spans="1:1" ht="30" customHeight="1">
      <c r="A54" s="22" t="s">
        <v>34</v>
      </c>
    </row>
    <row r="56" spans="1:1" ht="30.75" customHeight="1">
      <c r="A56" s="22" t="s">
        <v>35</v>
      </c>
    </row>
  </sheetData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FEB3-874B-4856-A0AA-C2CD21A89C21}">
  <sheetPr codeName="工作表6"/>
  <dimension ref="A1:B42"/>
  <sheetViews>
    <sheetView workbookViewId="0">
      <selection sqref="A1:B42"/>
    </sheetView>
  </sheetViews>
  <sheetFormatPr baseColWidth="10" defaultColWidth="8.83203125" defaultRowHeight="13"/>
  <cols>
    <col min="1" max="1" width="26.33203125" style="33" customWidth="1"/>
    <col min="2" max="2" width="24.1640625" customWidth="1"/>
  </cols>
  <sheetData>
    <row r="1" spans="1:2" ht="15">
      <c r="A1" s="90" t="s">
        <v>36</v>
      </c>
      <c r="B1" s="90" t="s">
        <v>37</v>
      </c>
    </row>
    <row r="2" spans="1:2" ht="14">
      <c r="A2" s="26" t="s">
        <v>38</v>
      </c>
      <c r="B2" s="89" t="s">
        <v>39</v>
      </c>
    </row>
    <row r="3" spans="1:2" ht="14">
      <c r="A3" s="26" t="s">
        <v>40</v>
      </c>
      <c r="B3" s="89" t="s">
        <v>41</v>
      </c>
    </row>
    <row r="4" spans="1:2" ht="14">
      <c r="A4" s="26" t="s">
        <v>42</v>
      </c>
      <c r="B4" s="89" t="s">
        <v>43</v>
      </c>
    </row>
    <row r="5" spans="1:2" ht="14">
      <c r="A5" s="26" t="s">
        <v>44</v>
      </c>
      <c r="B5" s="89" t="s">
        <v>45</v>
      </c>
    </row>
    <row r="6" spans="1:2" ht="14">
      <c r="A6" s="26" t="s">
        <v>46</v>
      </c>
      <c r="B6" s="89" t="s">
        <v>47</v>
      </c>
    </row>
    <row r="7" spans="1:2" ht="14">
      <c r="A7" s="26" t="s">
        <v>48</v>
      </c>
      <c r="B7" s="89" t="s">
        <v>49</v>
      </c>
    </row>
    <row r="8" spans="1:2" ht="14">
      <c r="A8" s="26" t="s">
        <v>50</v>
      </c>
      <c r="B8" s="89" t="s">
        <v>51</v>
      </c>
    </row>
    <row r="9" spans="1:2" ht="14">
      <c r="A9" s="26" t="s">
        <v>52</v>
      </c>
      <c r="B9" s="89" t="s">
        <v>53</v>
      </c>
    </row>
    <row r="10" spans="1:2" ht="14">
      <c r="A10" s="26" t="s">
        <v>54</v>
      </c>
      <c r="B10" s="89" t="s">
        <v>55</v>
      </c>
    </row>
    <row r="11" spans="1:2" ht="14">
      <c r="A11" s="26" t="s">
        <v>56</v>
      </c>
      <c r="B11" s="89" t="s">
        <v>57</v>
      </c>
    </row>
    <row r="12" spans="1:2" ht="14">
      <c r="A12" s="26" t="s">
        <v>58</v>
      </c>
      <c r="B12" s="89" t="s">
        <v>59</v>
      </c>
    </row>
    <row r="13" spans="1:2" ht="14">
      <c r="A13" s="26" t="s">
        <v>60</v>
      </c>
      <c r="B13" s="89" t="s">
        <v>61</v>
      </c>
    </row>
    <row r="14" spans="1:2" ht="14">
      <c r="A14" s="26" t="s">
        <v>62</v>
      </c>
      <c r="B14" s="89" t="s">
        <v>63</v>
      </c>
    </row>
    <row r="15" spans="1:2" ht="14">
      <c r="A15" s="26" t="s">
        <v>64</v>
      </c>
      <c r="B15" s="89" t="s">
        <v>65</v>
      </c>
    </row>
    <row r="16" spans="1:2" ht="14">
      <c r="A16" s="26" t="s">
        <v>66</v>
      </c>
      <c r="B16" s="89" t="s">
        <v>67</v>
      </c>
    </row>
    <row r="17" spans="1:2" ht="14">
      <c r="A17" s="26" t="s">
        <v>68</v>
      </c>
      <c r="B17" s="89" t="s">
        <v>69</v>
      </c>
    </row>
    <row r="18" spans="1:2" ht="14">
      <c r="A18" s="26" t="s">
        <v>70</v>
      </c>
      <c r="B18" s="89" t="s">
        <v>71</v>
      </c>
    </row>
    <row r="19" spans="1:2" ht="14">
      <c r="A19" s="26" t="s">
        <v>72</v>
      </c>
      <c r="B19" s="89" t="s">
        <v>73</v>
      </c>
    </row>
    <row r="20" spans="1:2" ht="14">
      <c r="A20" s="26" t="s">
        <v>74</v>
      </c>
      <c r="B20" s="89" t="s">
        <v>75</v>
      </c>
    </row>
    <row r="21" spans="1:2" ht="14">
      <c r="A21" s="26" t="s">
        <v>76</v>
      </c>
      <c r="B21" s="89" t="s">
        <v>77</v>
      </c>
    </row>
    <row r="22" spans="1:2" ht="14">
      <c r="A22" s="26" t="s">
        <v>78</v>
      </c>
      <c r="B22" s="89" t="s">
        <v>79</v>
      </c>
    </row>
    <row r="23" spans="1:2" ht="14">
      <c r="A23" s="26" t="s">
        <v>80</v>
      </c>
      <c r="B23" s="89" t="s">
        <v>81</v>
      </c>
    </row>
    <row r="24" spans="1:2" ht="14">
      <c r="A24" s="26" t="s">
        <v>82</v>
      </c>
      <c r="B24" s="89" t="s">
        <v>83</v>
      </c>
    </row>
    <row r="25" spans="1:2" ht="14">
      <c r="A25" s="26" t="s">
        <v>84</v>
      </c>
      <c r="B25" s="89" t="s">
        <v>85</v>
      </c>
    </row>
    <row r="26" spans="1:2" ht="14">
      <c r="A26" s="26" t="s">
        <v>86</v>
      </c>
      <c r="B26" s="89" t="s">
        <v>87</v>
      </c>
    </row>
    <row r="27" spans="1:2" ht="14">
      <c r="A27" s="26" t="s">
        <v>88</v>
      </c>
      <c r="B27" s="89" t="s">
        <v>89</v>
      </c>
    </row>
    <row r="28" spans="1:2" ht="14">
      <c r="A28" s="26" t="s">
        <v>90</v>
      </c>
      <c r="B28" s="89" t="s">
        <v>91</v>
      </c>
    </row>
    <row r="29" spans="1:2" ht="14">
      <c r="A29" s="26" t="s">
        <v>92</v>
      </c>
      <c r="B29" s="89" t="s">
        <v>93</v>
      </c>
    </row>
    <row r="30" spans="1:2" ht="14">
      <c r="A30" s="26" t="s">
        <v>94</v>
      </c>
      <c r="B30" s="89" t="s">
        <v>95</v>
      </c>
    </row>
    <row r="31" spans="1:2" ht="14">
      <c r="A31" s="26" t="s">
        <v>96</v>
      </c>
      <c r="B31" s="89" t="s">
        <v>97</v>
      </c>
    </row>
    <row r="32" spans="1:2" ht="14">
      <c r="A32" s="26" t="s">
        <v>98</v>
      </c>
      <c r="B32" s="89" t="s">
        <v>99</v>
      </c>
    </row>
    <row r="33" spans="1:2" ht="14">
      <c r="A33" s="26" t="s">
        <v>100</v>
      </c>
      <c r="B33" s="89" t="s">
        <v>101</v>
      </c>
    </row>
    <row r="34" spans="1:2" ht="14">
      <c r="A34" s="26" t="s">
        <v>102</v>
      </c>
      <c r="B34" s="89" t="s">
        <v>103</v>
      </c>
    </row>
    <row r="35" spans="1:2" ht="14">
      <c r="A35" s="26" t="s">
        <v>104</v>
      </c>
      <c r="B35" s="89" t="s">
        <v>105</v>
      </c>
    </row>
    <row r="36" spans="1:2" ht="14">
      <c r="A36" s="26" t="s">
        <v>106</v>
      </c>
      <c r="B36" s="89" t="s">
        <v>107</v>
      </c>
    </row>
    <row r="37" spans="1:2" ht="14">
      <c r="A37" s="26" t="s">
        <v>108</v>
      </c>
      <c r="B37" s="89" t="s">
        <v>109</v>
      </c>
    </row>
    <row r="38" spans="1:2" ht="14">
      <c r="A38" s="26" t="s">
        <v>110</v>
      </c>
      <c r="B38" s="89" t="s">
        <v>111</v>
      </c>
    </row>
    <row r="39" spans="1:2" ht="14">
      <c r="A39" s="26" t="s">
        <v>112</v>
      </c>
      <c r="B39" s="89" t="s">
        <v>113</v>
      </c>
    </row>
    <row r="40" spans="1:2" ht="14">
      <c r="A40" s="26" t="s">
        <v>114</v>
      </c>
      <c r="B40" s="89" t="s">
        <v>115</v>
      </c>
    </row>
    <row r="41" spans="1:2" ht="14">
      <c r="A41" s="26" t="s">
        <v>116</v>
      </c>
      <c r="B41" s="89" t="s">
        <v>117</v>
      </c>
    </row>
    <row r="42" spans="1:2" ht="14">
      <c r="A42" s="26" t="s">
        <v>118</v>
      </c>
      <c r="B42" s="89" t="s">
        <v>119</v>
      </c>
    </row>
  </sheetData>
  <sheetProtection sheet="1" objects="1" scenarios="1"/>
  <phoneticPr fontId="2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4</vt:i4>
      </vt:variant>
    </vt:vector>
  </HeadingPairs>
  <TitlesOfParts>
    <vt:vector size="10" baseType="lpstr">
      <vt:lpstr>DATA</vt:lpstr>
      <vt:lpstr>GRAPHS</vt:lpstr>
      <vt:lpstr>GRAPHS_SI</vt:lpstr>
      <vt:lpstr>EXPORT</vt:lpstr>
      <vt:lpstr>使用指引</vt:lpstr>
      <vt:lpstr>siteName</vt:lpstr>
      <vt:lpstr>seg_1</vt:lpstr>
      <vt:lpstr>seg_2</vt:lpstr>
      <vt:lpstr>seg_3</vt:lpstr>
      <vt:lpstr>seg_4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LINE TRANSECT DATA SHEET</dc:title>
  <dc:subject/>
  <dc:creator/>
  <cp:keywords/>
  <dc:description/>
  <cp:lastModifiedBy/>
  <cp:revision/>
  <dcterms:created xsi:type="dcterms:W3CDTF">2000-10-17T02:14:32Z</dcterms:created>
  <dcterms:modified xsi:type="dcterms:W3CDTF">2026-05-08T10:34:04Z</dcterms:modified>
  <cp:category/>
  <cp:contentStatus/>
</cp:coreProperties>
</file>