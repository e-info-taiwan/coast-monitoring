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2.xml" ContentType="application/vnd.openxmlformats-officedocument.themeOverrid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theme/themeOverride13.xml" ContentType="application/vnd.openxmlformats-officedocument.themeOverride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theme/themeOverride14.xml" ContentType="application/vnd.openxmlformats-officedocument.themeOverrid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codeName="ThisWorkbook" autoCompressPictures="0" defaultThemeVersion="166925"/>
  <xr:revisionPtr revIDLastSave="0" documentId="13_ncr:1_{138AF437-4F78-3F43-AF30-C0F565E0C9BE}" xr6:coauthVersionLast="47" xr6:coauthVersionMax="47" xr10:uidLastSave="{00000000-0000-0000-0000-000000000000}"/>
  <bookViews>
    <workbookView xWindow="0" yWindow="500" windowWidth="33600" windowHeight="20500" tabRatio="500" activeTab="0" xr2:uid="{00000000-000D-0000-FFFF-FFFF00000000}"/>
  </bookViews>
  <sheets>
    <sheet name="20260411" sheetId="13" r:id="rId1"/>
    <sheet name="Summary (line)" sheetId="7" r:id="rId2"/>
    <sheet name="Summary (fish)" sheetId="6" r:id="rId4"/>
    <sheet name="Summary (fish size)" sheetId="16" r:id="rId6"/>
    <sheet name="Summary (Invertebrates)" sheetId="4" r:id="rId7"/>
    <sheet name="Impacts" sheetId="12" r:id="rId8"/>
  </sheets>
  <calcPr calcId="191029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<sst xmlns="http://schemas.openxmlformats.org/spreadsheetml/2006/main" count="151" uniqueCount="151">
  <si>
    <t>5m</t>
  </si>
  <si>
    <t>5m</t>
    <phoneticPr fontId="13" type="noConversion"/>
  </si>
  <si>
    <r>
      <t xml:space="preserve">Butterflyfish
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 xml:space="preserve"> 5cm)</t>
    </r>
    <phoneticPr fontId="13" type="noConversion"/>
  </si>
  <si>
    <r>
      <t xml:space="preserve">蝴蝶魚
( </t>
    </r>
    <r>
      <rPr>
        <b/>
        <sz val="12"/>
        <color rgb="FF000000"/>
        <rFont val="Cambria Math"/>
        <family val="1"/>
      </rPr>
      <t>≥</t>
    </r>
    <r>
      <rPr>
        <b/>
        <sz val="12"/>
        <color rgb="FF000000"/>
        <rFont val="微軟正黑體"/>
        <family val="2"/>
        <charset val="136"/>
      </rPr>
      <t xml:space="preserve"> 5cm)</t>
    </r>
    <phoneticPr fontId="18" type="noConversion"/>
  </si>
  <si>
    <t>Butterflyfish
(&lt;5cm)</t>
    <phoneticPr fontId="13" type="noConversion"/>
  </si>
  <si>
    <t>蝴蝶魚
(&lt;5cm)</t>
    <phoneticPr fontId="18" type="noConversion"/>
  </si>
  <si>
    <t>Haemulidae</t>
    <phoneticPr fontId="13" type="noConversion"/>
  </si>
  <si>
    <t>石鱸</t>
    <phoneticPr fontId="18" type="noConversion"/>
  </si>
  <si>
    <t>Haemulidae
(juv.)</t>
    <phoneticPr fontId="13" type="noConversion"/>
  </si>
  <si>
    <t>石鱸幼魚
(妞妞魚)</t>
    <phoneticPr fontId="18" type="noConversion"/>
  </si>
  <si>
    <r>
      <t xml:space="preserve">Snapper 
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 xml:space="preserve"> 20cm)</t>
    </r>
    <phoneticPr fontId="13" type="noConversion"/>
  </si>
  <si>
    <r>
      <t xml:space="preserve">笛鯛
( </t>
    </r>
    <r>
      <rPr>
        <b/>
        <sz val="12"/>
        <color rgb="FF000000"/>
        <rFont val="Cambria Math"/>
        <family val="1"/>
      </rPr>
      <t>≥</t>
    </r>
    <r>
      <rPr>
        <b/>
        <sz val="12"/>
        <color rgb="FF000000"/>
        <rFont val="微軟正黑體"/>
        <family val="2"/>
        <charset val="136"/>
      </rPr>
      <t xml:space="preserve"> 20cm)</t>
    </r>
    <phoneticPr fontId="18" type="noConversion"/>
  </si>
  <si>
    <t>Snapper 
(&lt; 20cm)</t>
    <phoneticPr fontId="13" type="noConversion"/>
  </si>
  <si>
    <t>小笛鯛
(&lt; 20cm)</t>
    <phoneticPr fontId="18" type="noConversion"/>
  </si>
  <si>
    <r>
      <t xml:space="preserve">Parrotfish
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 xml:space="preserve"> 20cm)</t>
    </r>
    <phoneticPr fontId="13" type="noConversion"/>
  </si>
  <si>
    <r>
      <t xml:space="preserve">鸚哥魚 
( </t>
    </r>
    <r>
      <rPr>
        <b/>
        <sz val="12"/>
        <color rgb="FF000000"/>
        <rFont val="Cambria Math"/>
        <family val="1"/>
      </rPr>
      <t>≥</t>
    </r>
    <r>
      <rPr>
        <b/>
        <sz val="12"/>
        <color rgb="FF000000"/>
        <rFont val="微軟正黑體"/>
        <family val="2"/>
        <charset val="136"/>
      </rPr>
      <t xml:space="preserve"> 20cm)</t>
    </r>
    <phoneticPr fontId="18" type="noConversion"/>
  </si>
  <si>
    <t>Parrotfish
(&lt;20 cm)</t>
    <phoneticPr fontId="13" type="noConversion"/>
  </si>
  <si>
    <t>鸚哥魚
(&lt;20 cm)</t>
    <phoneticPr fontId="18" type="noConversion"/>
  </si>
  <si>
    <r>
      <t xml:space="preserve">Grouper(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>30cm)</t>
    </r>
    <phoneticPr fontId="13" type="noConversion"/>
  </si>
  <si>
    <r>
      <t xml:space="preserve">石斑
 ( </t>
    </r>
    <r>
      <rPr>
        <b/>
        <sz val="12"/>
        <rFont val="Cambria Math"/>
        <family val="1"/>
      </rPr>
      <t>≥</t>
    </r>
    <r>
      <rPr>
        <b/>
        <sz val="12"/>
        <rFont val="微軟正黑體"/>
        <family val="2"/>
        <charset val="136"/>
      </rPr>
      <t xml:space="preserve"> 30cm)</t>
    </r>
    <phoneticPr fontId="13" type="noConversion"/>
  </si>
  <si>
    <t>Grouper(&lt;30cm)</t>
    <phoneticPr fontId="13" type="noConversion"/>
  </si>
  <si>
    <t>石斑
 ( &lt;30m)</t>
    <phoneticPr fontId="13" type="noConversion"/>
  </si>
  <si>
    <t>10m</t>
  </si>
  <si>
    <t>Banded coral shrimp</t>
  </si>
  <si>
    <t>清潔蝦</t>
  </si>
  <si>
    <t>Diadema</t>
  </si>
  <si>
    <t>魔鬼海膽</t>
  </si>
  <si>
    <t>Echinothrix</t>
    <phoneticPr fontId="13" type="noConversion"/>
  </si>
  <si>
    <t>刺棘海膽</t>
    <phoneticPr fontId="13" type="noConversion"/>
  </si>
  <si>
    <t>Pencil urchin</t>
  </si>
  <si>
    <t>鉛筆海膽</t>
  </si>
  <si>
    <t>Collector urchin</t>
  </si>
  <si>
    <t>馬糞海膽</t>
  </si>
  <si>
    <t>Sea cucumber</t>
  </si>
  <si>
    <t>海參</t>
  </si>
  <si>
    <t>Crown-of-thorns</t>
  </si>
  <si>
    <t>棘冠海星</t>
  </si>
  <si>
    <t>Giant clam</t>
  </si>
  <si>
    <t>硨磲貝</t>
  </si>
  <si>
    <t>Triton</t>
  </si>
  <si>
    <t>大法螺</t>
  </si>
  <si>
    <t>Lobster</t>
  </si>
  <si>
    <t>龍蝦</t>
  </si>
  <si>
    <t>Banded coral shrimp</t>
    <phoneticPr fontId="13" type="noConversion"/>
  </si>
  <si>
    <t>Collector urchin</t>
    <phoneticPr fontId="13" type="noConversion"/>
  </si>
  <si>
    <t>Sea cucumber</t>
    <phoneticPr fontId="13" type="noConversion"/>
  </si>
  <si>
    <t>Crown-of-thorns</t>
    <phoneticPr fontId="13" type="noConversion"/>
  </si>
  <si>
    <t>5米</t>
  </si>
  <si>
    <t>珊瑚損害：船錨</t>
  </si>
  <si>
    <t>珊瑚損害：炸魚</t>
  </si>
  <si>
    <t>珊瑚損害：其他</t>
  </si>
  <si>
    <t>漁業垃圾</t>
  </si>
  <si>
    <t>一般垃圾</t>
  </si>
  <si>
    <t>10m</t>
    <phoneticPr fontId="13" type="noConversion"/>
  </si>
  <si>
    <t>Butterflyfish</t>
  </si>
  <si>
    <t>蝶魚</t>
  </si>
  <si>
    <t>Haemulidae</t>
  </si>
  <si>
    <t>石鱸</t>
  </si>
  <si>
    <t xml:space="preserve">Snapper </t>
  </si>
  <si>
    <t>笛鯛</t>
  </si>
  <si>
    <t>Barramundi cod</t>
  </si>
  <si>
    <t>老鼠斑</t>
  </si>
  <si>
    <r>
      <t xml:space="preserve">石斑魚(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>30cm)</t>
    </r>
    <phoneticPr fontId="13" type="noConversion"/>
  </si>
  <si>
    <t>石斑魚(&lt;30cm)</t>
    <phoneticPr fontId="13" type="noConversion"/>
  </si>
  <si>
    <t xml:space="preserve">Humphead wrasse </t>
  </si>
  <si>
    <t>蘇眉</t>
  </si>
  <si>
    <t xml:space="preserve">Bumphead parrot </t>
  </si>
  <si>
    <t>隆頭鸚哥</t>
  </si>
  <si>
    <t>Parrotfish</t>
  </si>
  <si>
    <r>
      <t xml:space="preserve">鸚哥魚( </t>
    </r>
    <r>
      <rPr>
        <b/>
        <sz val="12"/>
        <rFont val="Cambria Math"/>
        <family val="1"/>
      </rPr>
      <t>≥2</t>
    </r>
    <r>
      <rPr>
        <b/>
        <sz val="12"/>
        <rFont val="新細明體"/>
        <family val="1"/>
        <charset val="136"/>
      </rPr>
      <t>0cm)</t>
    </r>
    <phoneticPr fontId="13" type="noConversion"/>
  </si>
  <si>
    <t>Moray eel</t>
  </si>
  <si>
    <t>裸胸鯙</t>
  </si>
  <si>
    <r>
      <t xml:space="preserve">鸚哥魚( </t>
    </r>
    <r>
      <rPr>
        <b/>
        <sz val="12"/>
        <rFont val="Cambria Math"/>
        <family val="1"/>
      </rPr>
      <t>≥</t>
    </r>
    <r>
      <rPr>
        <b/>
        <sz val="12"/>
        <rFont val="新細明體"/>
        <family val="1"/>
        <charset val="136"/>
      </rPr>
      <t>20cm)</t>
    </r>
    <phoneticPr fontId="13" type="noConversion"/>
  </si>
  <si>
    <t>HC</t>
  </si>
  <si>
    <t>硬珊瑚</t>
  </si>
  <si>
    <t>SC</t>
  </si>
  <si>
    <t>軟珊瑚</t>
  </si>
  <si>
    <t>RKC</t>
  </si>
  <si>
    <t>新死珊瑚</t>
  </si>
  <si>
    <t>NIA</t>
  </si>
  <si>
    <t>藻類</t>
  </si>
  <si>
    <t>SP</t>
  </si>
  <si>
    <t>海綿</t>
  </si>
  <si>
    <t>RC</t>
  </si>
  <si>
    <t>岩石</t>
  </si>
  <si>
    <t>RB</t>
  </si>
  <si>
    <t>碎石</t>
  </si>
  <si>
    <t>SD</t>
  </si>
  <si>
    <t>沙</t>
  </si>
  <si>
    <t>SI</t>
  </si>
  <si>
    <t>泥沙</t>
  </si>
  <si>
    <t>OT</t>
  </si>
  <si>
    <t>其他</t>
  </si>
  <si>
    <t>活珊瑚覆蓋率</t>
    <phoneticPr fontId="13" type="noConversion"/>
  </si>
  <si>
    <t>做</t>
    <phoneticPr fontId="13" type="noConversion"/>
  </si>
  <si>
    <t>圖</t>
    <phoneticPr fontId="13" type="noConversion"/>
  </si>
  <si>
    <t>用</t>
    <phoneticPr fontId="13" type="noConversion"/>
  </si>
  <si>
    <t>硬珊瑚</t>
    <phoneticPr fontId="18" type="noConversion"/>
  </si>
  <si>
    <t>軟珊瑚</t>
    <phoneticPr fontId="18" type="noConversion"/>
  </si>
  <si>
    <t>新死珊瑚</t>
    <phoneticPr fontId="18" type="noConversion"/>
  </si>
  <si>
    <t>藻類</t>
    <phoneticPr fontId="18" type="noConversion"/>
  </si>
  <si>
    <t>海綿</t>
    <phoneticPr fontId="18" type="noConversion"/>
  </si>
  <si>
    <t>岩石</t>
    <phoneticPr fontId="18" type="noConversion"/>
  </si>
  <si>
    <t>碎石</t>
    <phoneticPr fontId="18" type="noConversion"/>
  </si>
  <si>
    <t>沙</t>
    <phoneticPr fontId="18" type="noConversion"/>
  </si>
  <si>
    <t>泥</t>
    <phoneticPr fontId="18" type="noConversion"/>
  </si>
  <si>
    <t>其他</t>
    <phoneticPr fontId="18" type="noConversion"/>
  </si>
  <si>
    <t>活珊瑚覆蓋率</t>
    <phoneticPr fontId="18" type="noConversion"/>
  </si>
  <si>
    <t>硬珊瑚型態</t>
  </si>
  <si>
    <t>A 空隙型</t>
  </si>
  <si>
    <t>B 葉片型</t>
  </si>
  <si>
    <t>C 堅實型</t>
  </si>
  <si>
    <t>蝶魚</t>
    <phoneticPr fontId="18" type="noConversion"/>
  </si>
  <si>
    <t>笛鯛</t>
    <phoneticPr fontId="18" type="noConversion"/>
  </si>
  <si>
    <t>老鼠斑</t>
    <phoneticPr fontId="18" type="noConversion"/>
  </si>
  <si>
    <r>
      <t xml:space="preserve">石斑( </t>
    </r>
    <r>
      <rPr>
        <b/>
        <sz val="12"/>
        <rFont val="Cambria Math"/>
        <family val="2"/>
      </rPr>
      <t>≥</t>
    </r>
    <r>
      <rPr>
        <b/>
        <sz val="12"/>
        <rFont val="微軟正黑體"/>
        <family val="2"/>
        <charset val="136"/>
      </rPr>
      <t>30cm)</t>
    </r>
    <phoneticPr fontId="18" type="noConversion"/>
  </si>
  <si>
    <t>石斑(&lt;30cm)</t>
    <phoneticPr fontId="18" type="noConversion"/>
  </si>
  <si>
    <t>蘇眉</t>
    <phoneticPr fontId="18" type="noConversion"/>
  </si>
  <si>
    <t>隆頭鸚哥</t>
    <phoneticPr fontId="18" type="noConversion"/>
  </si>
  <si>
    <r>
      <t xml:space="preserve">鸚哥魚 ( </t>
    </r>
    <r>
      <rPr>
        <b/>
        <sz val="12"/>
        <rFont val="Cambria Math"/>
        <family val="2"/>
      </rPr>
      <t>≥</t>
    </r>
    <r>
      <rPr>
        <b/>
        <sz val="12"/>
        <rFont val="微軟正黑體"/>
        <family val="2"/>
        <charset val="136"/>
      </rPr>
      <t>20cm)</t>
    </r>
    <phoneticPr fontId="18" type="noConversion"/>
  </si>
  <si>
    <t>裸胸鯙</t>
    <phoneticPr fontId="18" type="noConversion"/>
  </si>
  <si>
    <t>魚類體型</t>
    <phoneticPr fontId="18" type="noConversion"/>
  </si>
  <si>
    <t>蝴蝶魚</t>
    <phoneticPr fontId="18" type="noConversion"/>
  </si>
  <si>
    <t>蝴蝶魚(&lt;5cm)</t>
    <phoneticPr fontId="18" type="noConversion"/>
  </si>
  <si>
    <t>妞妞</t>
    <phoneticPr fontId="18" type="noConversion"/>
  </si>
  <si>
    <t>小笛鯛(&lt; 20cm)</t>
    <phoneticPr fontId="18" type="noConversion"/>
  </si>
  <si>
    <t>Grouper (cm)</t>
  </si>
  <si>
    <t>&lt;30</t>
  </si>
  <si>
    <t>30-40</t>
  </si>
  <si>
    <t>40-50</t>
  </si>
  <si>
    <t>50-60</t>
  </si>
  <si>
    <t xml:space="preserve">&gt;60 </t>
  </si>
  <si>
    <t>清潔蝦</t>
    <phoneticPr fontId="18" type="noConversion"/>
  </si>
  <si>
    <t>魔鬼海膽</t>
    <phoneticPr fontId="18" type="noConversion"/>
  </si>
  <si>
    <t>鉛筆海膽</t>
    <phoneticPr fontId="18" type="noConversion"/>
  </si>
  <si>
    <t>馬糞海膽</t>
    <phoneticPr fontId="18" type="noConversion"/>
  </si>
  <si>
    <t>海參</t>
    <phoneticPr fontId="18" type="noConversion"/>
  </si>
  <si>
    <t>棘冠海星</t>
    <phoneticPr fontId="18" type="noConversion"/>
  </si>
  <si>
    <t>硨磲貝</t>
    <phoneticPr fontId="18" type="noConversion"/>
  </si>
  <si>
    <t>大法螺</t>
    <phoneticPr fontId="18" type="noConversion"/>
  </si>
  <si>
    <t>龍蝦</t>
    <phoneticPr fontId="18" type="noConversion"/>
  </si>
  <si>
    <t>Giant clam (cm)</t>
  </si>
  <si>
    <t>&lt;10</t>
  </si>
  <si>
    <t>10-20</t>
  </si>
  <si>
    <t>20-30</t>
  </si>
  <si>
    <t>&gt;50</t>
  </si>
  <si>
    <t>珊瑚損害
船錨</t>
    <phoneticPr fontId="13" type="noConversion"/>
  </si>
  <si>
    <t>珊瑚損害
炸魚</t>
    <phoneticPr fontId="13" type="noConversion"/>
  </si>
  <si>
    <t>珊瑚損害
其他</t>
    <phoneticPr fontId="13" type="noConversion"/>
  </si>
  <si>
    <t>漁業垃圾</t>
    <phoneticPr fontId="18" type="noConversion"/>
  </si>
  <si>
    <t>一般垃圾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</si>
</sst>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C09]mmm\-yy"/>
    <numFmt numFmtId="177" formatCode="0.0_ "/>
    <numFmt numFmtId="178" formatCode="0.00_);[Red]\(0.00\)"/>
  </numFmts>
  <fonts count="31">
    <font>
      <sz val="12"/>
      <color rgb="FF000000"/>
      <name val="新細明體"/>
      <family val="2"/>
      <charset val="136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2"/>
      <color rgb="FF000000"/>
      <name val="新細明體"/>
      <family val="2"/>
      <charset val="1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2"/>
      <charset val="1"/>
    </font>
    <font>
      <b/>
      <sz val="12"/>
      <name val="新細明體"/>
      <family val="1"/>
      <charset val="136"/>
    </font>
    <font>
      <sz val="12"/>
      <name val="Arial"/>
      <family val="2"/>
      <charset val="1"/>
    </font>
    <font>
      <sz val="12"/>
      <name val="新細明體"/>
      <family val="2"/>
      <charset val="136"/>
    </font>
    <font>
      <b/>
      <sz val="12"/>
      <name val="Arial"/>
      <family val="2"/>
      <charset val="1"/>
    </font>
    <font>
      <sz val="12"/>
      <color rgb="FF000000"/>
      <name val="新細明體"/>
      <family val="2"/>
      <charset val="136"/>
    </font>
    <font>
      <sz val="9"/>
      <name val="新細明體"/>
      <family val="2"/>
      <charset val="136"/>
    </font>
    <font>
      <sz val="12"/>
      <name val="Arial"/>
      <family val="2"/>
    </font>
    <font>
      <sz val="10"/>
      <color rgb="FF000000"/>
      <name val="Arial"/>
      <family val="2"/>
    </font>
    <font>
      <u/>
      <sz val="12"/>
      <color theme="10"/>
      <name val="新細明體"/>
      <family val="2"/>
      <charset val="136"/>
    </font>
    <font>
      <u/>
      <sz val="12"/>
      <color theme="11"/>
      <name val="新細明體"/>
      <family val="2"/>
      <charset val="136"/>
    </font>
    <font>
      <sz val="9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2"/>
      <color rgb="FF000000"/>
      <name val="新細明體"/>
      <family val="1"/>
      <charset val="136"/>
    </font>
    <font>
      <b/>
      <sz val="12"/>
      <color rgb="FF000000"/>
      <name val="Cambria Math"/>
      <family val="1"/>
    </font>
    <font>
      <b/>
      <sz val="12"/>
      <name val="Cambria Math"/>
      <family val="1"/>
    </font>
    <font>
      <sz val="12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name val="Cambria Math"/>
      <family val="2"/>
    </font>
    <font>
      <b/>
      <sz val="12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5">
    <xf numFmtId="0" fontId="0" fillId="0" borderId="0">
      <alignment vertical="center"/>
    </xf>
    <xf numFmtId="0" fontId="3" fillId="0" borderId="0"/>
    <xf numFmtId="0" fontId="12" fillId="0" borderId="0">
      <alignment vertical="center"/>
    </xf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/>
    <xf numFmtId="9" fontId="1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3" fillId="0" borderId="0" xfId="1"/>
    <xf numFmtId="176" fontId="3" fillId="0" borderId="0" xfId="1" applyNumberForma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/>
    <xf numFmtId="0" fontId="9" fillId="0" borderId="0" xfId="1" applyFont="1"/>
    <xf numFmtId="0" fontId="11" fillId="0" borderId="0" xfId="1" applyFont="1"/>
    <xf numFmtId="0" fontId="8" fillId="0" borderId="0" xfId="1" applyFont="1"/>
    <xf numFmtId="0" fontId="8" fillId="0" borderId="0" xfId="1" applyFont="1" applyAlignment="1">
      <alignment wrapText="1"/>
    </xf>
    <xf numFmtId="0" fontId="10" fillId="0" borderId="0" xfId="1" applyFont="1" applyAlignment="1">
      <alignment wrapText="1"/>
    </xf>
    <xf numFmtId="0" fontId="10" fillId="0" borderId="0" xfId="1" applyFont="1"/>
    <xf numFmtId="0" fontId="6" fillId="0" borderId="0" xfId="1" applyFont="1" applyAlignment="1">
      <alignment wrapText="1"/>
    </xf>
    <xf numFmtId="17" fontId="3" fillId="0" borderId="0" xfId="1" applyNumberFormat="1"/>
    <xf numFmtId="17" fontId="4" fillId="0" borderId="0" xfId="1" applyNumberFormat="1" applyFont="1"/>
    <xf numFmtId="17" fontId="0" fillId="0" borderId="0" xfId="0" applyNumberFormat="1">
      <alignment vertical="center"/>
    </xf>
    <xf numFmtId="17" fontId="0" fillId="0" borderId="0" xfId="1" quotePrefix="1" applyNumberFormat="1" applyFont="1"/>
    <xf numFmtId="49" fontId="0" fillId="0" borderId="0" xfId="1" quotePrefix="1" applyNumberFormat="1" applyFont="1"/>
    <xf numFmtId="176" fontId="0" fillId="0" borderId="0" xfId="1" quotePrefix="1" applyNumberFormat="1" applyFont="1"/>
    <xf numFmtId="0" fontId="1" fillId="0" borderId="0" xfId="22">
      <alignment vertical="center"/>
    </xf>
    <xf numFmtId="9" fontId="0" fillId="0" borderId="0" xfId="24" applyFont="1">
      <alignment vertical="center"/>
    </xf>
    <xf numFmtId="9" fontId="1" fillId="0" borderId="0" xfId="22" applyNumberFormat="1">
      <alignment vertical="center"/>
    </xf>
    <xf numFmtId="10" fontId="1" fillId="0" borderId="0" xfId="22" applyNumberFormat="1">
      <alignment vertical="center"/>
    </xf>
    <xf numFmtId="10" fontId="0" fillId="0" borderId="0" xfId="24" applyNumberFormat="1" applyFont="1">
      <alignment vertical="center"/>
    </xf>
    <xf numFmtId="0" fontId="20" fillId="0" borderId="0" xfId="22" applyFont="1">
      <alignment vertical="center"/>
    </xf>
    <xf numFmtId="0" fontId="21" fillId="0" borderId="1" xfId="22" applyFont="1" applyBorder="1" applyAlignment="1">
      <alignment horizontal="center" vertical="center"/>
    </xf>
    <xf numFmtId="0" fontId="20" fillId="0" borderId="0" xfId="22" applyFont="1" applyAlignment="1">
      <alignment vertical="center" wrapText="1"/>
    </xf>
    <xf numFmtId="0" fontId="20" fillId="0" borderId="0" xfId="22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1" applyFont="1"/>
    <xf numFmtId="176" fontId="22" fillId="4" borderId="1" xfId="1" applyNumberFormat="1" applyFont="1" applyFill="1" applyBorder="1" applyAlignment="1">
      <alignment horizontal="center" vertical="center"/>
    </xf>
    <xf numFmtId="17" fontId="22" fillId="4" borderId="1" xfId="1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2" fillId="0" borderId="0" xfId="0" applyFont="1">
      <alignment vertical="center"/>
    </xf>
    <xf numFmtId="15" fontId="22" fillId="4" borderId="1" xfId="1" applyNumberFormat="1" applyFont="1" applyFill="1" applyBorder="1" applyAlignment="1">
      <alignment horizontal="center" vertical="center"/>
    </xf>
    <xf numFmtId="0" fontId="22" fillId="5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17" fontId="22" fillId="4" borderId="1" xfId="0" applyNumberFormat="1" applyFont="1" applyFill="1" applyBorder="1" applyAlignment="1">
      <alignment horizontal="center" vertical="center"/>
    </xf>
    <xf numFmtId="0" fontId="25" fillId="0" borderId="1" xfId="22" applyFont="1" applyBorder="1" applyAlignment="1">
      <alignment horizontal="center" vertical="center"/>
    </xf>
    <xf numFmtId="0" fontId="26" fillId="0" borderId="1" xfId="22" applyFont="1" applyBorder="1" applyAlignment="1">
      <alignment horizontal="center" vertical="center"/>
    </xf>
    <xf numFmtId="0" fontId="26" fillId="2" borderId="1" xfId="22" applyFont="1" applyFill="1" applyBorder="1" applyAlignment="1">
      <alignment horizontal="center" vertical="center"/>
    </xf>
    <xf numFmtId="0" fontId="27" fillId="0" borderId="1" xfId="23" applyFont="1" applyBorder="1" applyAlignment="1">
      <alignment horizontal="center" vertical="center"/>
    </xf>
    <xf numFmtId="177" fontId="25" fillId="0" borderId="1" xfId="3" applyNumberFormat="1" applyFont="1" applyFill="1" applyBorder="1" applyAlignment="1" applyProtection="1">
      <alignment horizontal="center" vertical="center"/>
    </xf>
    <xf numFmtId="0" fontId="25" fillId="0" borderId="0" xfId="23" applyFont="1" applyAlignment="1">
      <alignment horizontal="center" vertical="center"/>
    </xf>
    <xf numFmtId="177" fontId="25" fillId="0" borderId="0" xfId="3" applyNumberFormat="1" applyFont="1" applyFill="1" applyBorder="1" applyAlignment="1" applyProtection="1">
      <alignment horizontal="center" vertical="center"/>
    </xf>
    <xf numFmtId="0" fontId="27" fillId="2" borderId="0" xfId="3" applyNumberFormat="1" applyFont="1" applyFill="1" applyBorder="1" applyAlignment="1" applyProtection="1">
      <alignment horizontal="center" vertical="center"/>
    </xf>
    <xf numFmtId="0" fontId="25" fillId="0" borderId="1" xfId="3" applyNumberFormat="1" applyFont="1" applyFill="1" applyBorder="1" applyAlignment="1" applyProtection="1">
      <alignment horizontal="center" vertical="center"/>
    </xf>
    <xf numFmtId="0" fontId="20" fillId="0" borderId="1" xfId="22" applyFont="1" applyBorder="1" applyAlignment="1">
      <alignment horizontal="center" vertical="center"/>
    </xf>
    <xf numFmtId="0" fontId="27" fillId="0" borderId="0" xfId="22" applyFont="1" applyAlignment="1">
      <alignment wrapText="1"/>
    </xf>
    <xf numFmtId="0" fontId="25" fillId="0" borderId="0" xfId="22" applyFont="1" applyAlignment="1">
      <alignment wrapText="1"/>
    </xf>
    <xf numFmtId="0" fontId="27" fillId="0" borderId="1" xfId="4" applyFont="1" applyBorder="1" applyAlignment="1">
      <alignment horizontal="center" vertical="center"/>
    </xf>
    <xf numFmtId="0" fontId="27" fillId="0" borderId="1" xfId="4" applyFont="1" applyBorder="1" applyAlignment="1">
      <alignment horizontal="center" vertical="center" wrapText="1"/>
    </xf>
    <xf numFmtId="0" fontId="27" fillId="2" borderId="1" xfId="22" applyFont="1" applyFill="1" applyBorder="1" applyAlignment="1">
      <alignment horizontal="center" vertical="center" wrapText="1"/>
    </xf>
    <xf numFmtId="0" fontId="27" fillId="0" borderId="1" xfId="22" applyFont="1" applyBorder="1" applyAlignment="1">
      <alignment horizontal="center" vertical="center" wrapText="1"/>
    </xf>
    <xf numFmtId="0" fontId="27" fillId="0" borderId="0" xfId="22" applyFont="1" applyAlignment="1">
      <alignment horizontal="center" vertical="center" wrapText="1"/>
    </xf>
    <xf numFmtId="0" fontId="27" fillId="0" borderId="1" xfId="4" applyFont="1" applyBorder="1" applyAlignment="1" applyProtection="1">
      <alignment horizontal="center" vertical="center" wrapText="1"/>
      <protection locked="0"/>
    </xf>
    <xf numFmtId="0" fontId="27" fillId="0" borderId="1" xfId="4" applyFont="1" applyBorder="1" applyAlignment="1" applyProtection="1">
      <alignment horizontal="center" vertical="center"/>
      <protection locked="0"/>
    </xf>
    <xf numFmtId="0" fontId="27" fillId="0" borderId="0" xfId="4" applyFont="1" applyAlignment="1" applyProtection="1">
      <alignment horizontal="center" vertical="center" wrapText="1"/>
      <protection locked="0"/>
    </xf>
    <xf numFmtId="0" fontId="20" fillId="0" borderId="0" xfId="22" applyFont="1" applyAlignment="1">
      <alignment horizontal="center" vertical="center" wrapText="1"/>
    </xf>
    <xf numFmtId="0" fontId="20" fillId="0" borderId="1" xfId="22" applyFont="1" applyBorder="1" applyAlignment="1">
      <alignment horizontal="center" vertical="center" wrapText="1"/>
    </xf>
    <xf numFmtId="0" fontId="27" fillId="3" borderId="1" xfId="22" applyFont="1" applyFill="1" applyBorder="1" applyAlignment="1">
      <alignment horizontal="center" vertical="center" wrapText="1"/>
    </xf>
    <xf numFmtId="0" fontId="25" fillId="0" borderId="0" xfId="22" applyFont="1" applyAlignment="1">
      <alignment horizontal="center" vertical="center" wrapText="1"/>
    </xf>
    <xf numFmtId="0" fontId="25" fillId="0" borderId="1" xfId="22" applyFont="1" applyBorder="1" applyAlignment="1">
      <alignment horizontal="center" vertical="center" wrapText="1"/>
    </xf>
    <xf numFmtId="49" fontId="27" fillId="0" borderId="1" xfId="22" applyNumberFormat="1" applyFont="1" applyBorder="1" applyAlignment="1">
      <alignment horizontal="center" vertical="center"/>
    </xf>
    <xf numFmtId="49" fontId="27" fillId="0" borderId="0" xfId="22" applyNumberFormat="1" applyFont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0" fontId="27" fillId="0" borderId="2" xfId="2" applyFont="1" applyBorder="1" applyAlignment="1">
      <alignment horizontal="center" wrapText="1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78" fontId="27" fillId="7" borderId="1" xfId="3" applyNumberFormat="1" applyFont="1" applyFill="1" applyBorder="1" applyAlignment="1" applyProtection="1">
      <alignment horizontal="center" vertical="center"/>
    </xf>
    <xf numFmtId="0" fontId="29" fillId="0" borderId="1" xfId="1" applyFont="1" applyBorder="1" applyAlignment="1">
      <alignment horizontal="center" vertical="center" wrapText="1"/>
    </xf>
    <xf numFmtId="0" fontId="20" fillId="0" borderId="7" xfId="22" applyFont="1" applyBorder="1" applyAlignment="1">
      <alignment horizontal="center" vertical="center"/>
    </xf>
    <xf numFmtId="0" fontId="20" fillId="0" borderId="9" xfId="22" applyFont="1" applyBorder="1" applyAlignment="1">
      <alignment horizontal="center" vertical="center"/>
    </xf>
    <xf numFmtId="0" fontId="20" fillId="0" borderId="10" xfId="22" applyFont="1" applyBorder="1" applyAlignment="1">
      <alignment horizontal="center" vertical="center"/>
    </xf>
    <xf numFmtId="0" fontId="25" fillId="0" borderId="3" xfId="22" applyFont="1" applyBorder="1" applyAlignment="1">
      <alignment horizontal="center" vertical="center" wrapText="1"/>
    </xf>
    <xf numFmtId="0" fontId="25" fillId="0" borderId="6" xfId="22" applyFont="1" applyBorder="1" applyAlignment="1">
      <alignment horizontal="center" vertical="center" wrapText="1"/>
    </xf>
    <xf numFmtId="0" fontId="25" fillId="0" borderId="8" xfId="22" applyFont="1" applyBorder="1" applyAlignment="1">
      <alignment horizontal="center" vertical="center" wrapText="1"/>
    </xf>
    <xf numFmtId="0" fontId="26" fillId="2" borderId="11" xfId="22" applyFont="1" applyFill="1" applyBorder="1" applyAlignment="1">
      <alignment horizontal="center" vertical="center"/>
    </xf>
    <xf numFmtId="0" fontId="26" fillId="2" borderId="12" xfId="22" applyFont="1" applyFill="1" applyBorder="1" applyAlignment="1">
      <alignment horizontal="center" vertical="center"/>
    </xf>
    <xf numFmtId="0" fontId="27" fillId="2" borderId="4" xfId="3" applyNumberFormat="1" applyFont="1" applyFill="1" applyBorder="1" applyAlignment="1" applyProtection="1">
      <alignment horizontal="center" vertical="center"/>
    </xf>
    <xf numFmtId="0" fontId="27" fillId="2" borderId="5" xfId="3" applyNumberFormat="1" applyFont="1" applyFill="1" applyBorder="1" applyAlignment="1" applyProtection="1">
      <alignment horizontal="center" vertical="center"/>
    </xf>
    <xf numFmtId="0" fontId="22" fillId="0" borderId="0" xfId="1" applyFont="1" applyAlignment="1">
      <alignment horizontal="center" vertical="center" wrapText="1"/>
    </xf>
  </cellXfs>
  <cellStyles count="25">
    <cellStyle name="Normal 2" xfId="5" xr:uid="{00000000-0005-0000-0000-000000000000}"/>
    <cellStyle name="一般" xfId="0" builtinId="0"/>
    <cellStyle name="一般 2" xfId="1" xr:uid="{00000000-0005-0000-0000-000002000000}"/>
    <cellStyle name="一般 3" xfId="2" xr:uid="{00000000-0005-0000-0000-000003000000}"/>
    <cellStyle name="一般 3 2" xfId="23" xr:uid="{5C3AE8AD-3067-A541-B657-7D784D48FD01}"/>
    <cellStyle name="一般 4" xfId="4" xr:uid="{00000000-0005-0000-0000-000004000000}"/>
    <cellStyle name="一般 5" xfId="22" xr:uid="{625B06F3-1A31-3340-9CDC-F8452CEA5016}"/>
    <cellStyle name="已瀏覽過的超連結" xfId="7" builtinId="9" hidden="1"/>
    <cellStyle name="已瀏覽過的超連結" xfId="9" builtinId="9" hidden="1"/>
    <cellStyle name="已瀏覽過的超連結" xfId="11" builtinId="9" hidden="1"/>
    <cellStyle name="已瀏覽過的超連結" xfId="13" builtinId="9" hidden="1"/>
    <cellStyle name="已瀏覽過的超連結" xfId="15" builtinId="9" hidden="1"/>
    <cellStyle name="已瀏覽過的超連結" xfId="17" builtinId="9" hidden="1"/>
    <cellStyle name="已瀏覽過的超連結" xfId="19" builtinId="9" hidden="1"/>
    <cellStyle name="已瀏覽過的超連結" xfId="21" builtinId="9" hidden="1"/>
    <cellStyle name="百分比 2" xfId="3" xr:uid="{00000000-0005-0000-0000-00000D000000}"/>
    <cellStyle name="百分比 3" xfId="24" xr:uid="{D4CA6655-6504-4945-AD27-443C2568727E}"/>
    <cellStyle name="超連結" xfId="6" builtinId="8" hidden="1"/>
    <cellStyle name="超連結" xfId="8" builtinId="8" hidden="1"/>
    <cellStyle name="超連結" xfId="10" builtinId="8" hidden="1"/>
    <cellStyle name="超連結" xfId="12" builtinId="8" hidden="1"/>
    <cellStyle name="超連結" xfId="14" builtinId="8" hidden="1"/>
    <cellStyle name="超連結" xfId="16" builtinId="8" hidden="1"/>
    <cellStyle name="超連結" xfId="18" builtinId="8" hidden="1"/>
    <cellStyle name="超連結" xfId="20" builtinId="8" hidde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7300"/>
      <rgbColor rgb="FF800080"/>
      <rgbColor rgb="FF549ADA"/>
      <rgbColor rgb="FFC9C9C9"/>
      <rgbColor rgb="FF888888"/>
      <rgbColor rgb="FF71A6DA"/>
      <rgbColor rgb="FFED7D31"/>
      <rgbColor rgb="FFFFFFCC"/>
      <rgbColor rgb="FFCCFFFF"/>
      <rgbColor rgb="FF660066"/>
      <rgbColor rgb="FFF08C56"/>
      <rgbColor rgb="FF255E91"/>
      <rgbColor rgb="FFB0D0FF"/>
      <rgbColor rgb="FF000080"/>
      <rgbColor rgb="FFFF00FF"/>
      <rgbColor rgb="FFFFFF00"/>
      <rgbColor rgb="FF00FFFF"/>
      <rgbColor rgb="FF800080"/>
      <rgbColor rgb="FF800000"/>
      <rgbColor rgb="FF5B9BD5"/>
      <rgbColor rgb="FF0000FF"/>
      <rgbColor rgb="FF00CCFF"/>
      <rgbColor rgb="FFCCFFFF"/>
      <rgbColor rgb="FFD9D9D9"/>
      <rgbColor rgb="FFFFFF99"/>
      <rgbColor rgb="FF99CCFF"/>
      <rgbColor rgb="FFFFC6B5"/>
      <rgbColor rgb="FFADB9CA"/>
      <rgbColor rgb="FFF8CBAD"/>
      <rgbColor rgb="FF4472C4"/>
      <rgbColor rgb="FF499BE6"/>
      <rgbColor rgb="FFA5A5A5"/>
      <rgbColor rgb="FFFFC000"/>
      <rgbColor rgb="FFF57A27"/>
      <rgbColor rgb="FFFF781D"/>
      <rgbColor rgb="FF636363"/>
      <rgbColor rgb="FF8B8B8B"/>
      <rgbColor rgb="FF003366"/>
      <rgbColor rgb="FF70AD47"/>
      <rgbColor rgb="FF003300"/>
      <rgbColor rgb="FF333300"/>
      <rgbColor rgb="FF9E480E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966"/>
      <color rgb="FF5B9BD5"/>
      <color rgb="FFFC2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0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3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>
              <a:defRPr sz="2400"/>
            </a:pPr>
            <a:r>
              <a:rPr lang="zh-TW" altLang="en-US" sz="2400"/>
              <a:t>底質覆蓋率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10247326277445"/>
          <c:y val="0.2110146613029304"/>
          <c:w val="0.79767058680646918"/>
          <c:h val="0.64139005929343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'20260411'!$B$1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'20260411'!$B$15:$B$24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'20260411'!$A$2:$A$11</c:f>
              <c:strCache>
                <c:ptCount val="0"/>
              </c:strCache>
            </c:strRef>
          </c:cat>
          <c:val>
            <c:numRef>
              <c:f>'20260411'!$B$2:$B$11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'20260411'!$C$1</c:f>
              <c:strCache>
                <c:ptCount val="0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'20260411'!$C$15:$C$24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'20260411'!$A$2:$A$11</c:f>
              <c:strCache>
                <c:ptCount val="0"/>
              </c:strCache>
            </c:strRef>
          </c:cat>
          <c:val>
            <c:numRef>
              <c:f>'20260411'!$C$2:$C$11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vert="horz"/>
          <a:lstStyle/>
          <a:p>
            <a:pPr>
              <a:defRPr sz="14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zh-TW" sz="1400"/>
                  <a:t>Percent(%)</a:t>
                </a:r>
                <a:endParaRPr lang="zh-TW" altLang="en-US" sz="1400"/>
              </a:p>
            </c:rich>
          </c:tx>
          <c:layout>
            <c:manualLayout>
              <c:xMode val="edge"/>
              <c:yMode val="edge"/>
              <c:x val="2.2217559220468919E-2"/>
              <c:y val="0.436808809501827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1400"/>
            </a:pPr>
            <a:endParaRPr lang="zh-TW"/>
          </a:p>
        </c:txPr>
        <c:crossAx val="214461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31803736615201"/>
          <c:y val="0.31864197060113247"/>
          <c:w val="9.4342550047567975E-2"/>
          <c:h val="0.236597967626928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>
              <a:defRPr sz="2400"/>
            </a:pPr>
            <a:r>
              <a:rPr lang="zh-TW" altLang="en-US" sz="2400"/>
              <a:t>指標性魚類族群密度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10247326277445"/>
          <c:y val="0.2110146613029304"/>
          <c:w val="0.79767058680646918"/>
          <c:h val="0.599723315835520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'20260411'!$B$41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'20260411'!$B$55:$B$64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'20260411'!$A$42:$A$51</c:f>
              <c:strCache>
                <c:ptCount val="0"/>
              </c:strCache>
            </c:strRef>
          </c:cat>
          <c:val>
            <c:numRef>
              <c:f>'20260411'!$B$42:$B$51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'20260411'!$C$41</c:f>
              <c:strCache>
                <c:ptCount val="0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'20260411'!$C$55:$C$64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'20260411'!$A$42:$A$51</c:f>
              <c:strCache>
                <c:ptCount val="0"/>
              </c:strCache>
            </c:strRef>
          </c:cat>
          <c:val>
            <c:numRef>
              <c:f>'20260411'!$C$42:$C$51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800000" vert="horz"/>
          <a:lstStyle/>
          <a:p>
            <a:pPr>
              <a:defRPr sz="12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zh-TW" altLang="en-US" sz="1400"/>
                  <a:t>隻</a:t>
                </a:r>
                <a:r>
                  <a:rPr lang="en-US" altLang="zh-TW" sz="1400"/>
                  <a:t>/100m</a:t>
                </a:r>
                <a:r>
                  <a:rPr lang="en-US" altLang="zh-TW" sz="1400" baseline="30000"/>
                  <a:t>2</a:t>
                </a:r>
                <a:endParaRPr lang="zh-TW" altLang="en-US" sz="1400" baseline="30000"/>
              </a:p>
            </c:rich>
          </c:tx>
          <c:layout>
            <c:manualLayout>
              <c:xMode val="edge"/>
              <c:yMode val="edge"/>
              <c:x val="2.2689901688209599E-2"/>
              <c:y val="0.451565581514956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zh-TW"/>
          </a:p>
        </c:txPr>
        <c:crossAx val="214461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047372803574934"/>
          <c:y val="0.33895217216918822"/>
          <c:w val="5.9223713685712151E-2"/>
          <c:h val="0.236597967626928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baseline="0">
                <a:solidFill>
                  <a:sysClr val="windowText" lastClr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baseline="0">
                <a:solidFill>
                  <a:sysClr val="windowText" lastClr="000000"/>
                </a:solidFill>
                <a:latin typeface="微軟正黑體"/>
                <a:ea typeface="微軟正黑體"/>
                <a:cs typeface="微軟正黑體"/>
              </a:defRPr>
            </a:pPr>
            <a:r>
              <a:rPr lang="zh-TW" altLang="en-US" sz="2400"/>
              <a:t>指標性無脊椎動物族群密度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10247326277445"/>
          <c:y val="0.2110146613029304"/>
          <c:w val="0.79767058680646918"/>
          <c:h val="0.641390059293435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'20260411'!$B$115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'20260411'!$B$128:$B$137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'20260411'!$A$116:$A$125</c:f>
              <c:strCache>
                <c:ptCount val="0"/>
              </c:strCache>
            </c:strRef>
          </c:cat>
          <c:val>
            <c:numRef>
              <c:f>'20260411'!$B$116:$B$125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'20260411'!$C$115</c:f>
              <c:strCache>
                <c:ptCount val="0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'20260411'!$C$128:$C$137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'20260411'!$A$116:$A$125</c:f>
              <c:strCache>
                <c:ptCount val="0"/>
              </c:strCache>
            </c:strRef>
          </c:cat>
          <c:val>
            <c:numRef>
              <c:f>'20260411'!$C$116:$C$125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vert="horz"/>
          <a:lstStyle/>
          <a:p>
            <a:pPr>
              <a:defRPr sz="14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zh-TW" altLang="en-US" sz="1400"/>
                  <a:t>隻</a:t>
                </a:r>
                <a:r>
                  <a:rPr lang="en-US" altLang="zh-TW" sz="1400"/>
                  <a:t>/100m</a:t>
                </a:r>
                <a:r>
                  <a:rPr lang="en-US" altLang="zh-TW" sz="1400" baseline="30000"/>
                  <a:t>2</a:t>
                </a:r>
                <a:endParaRPr lang="zh-TW" altLang="en-US" sz="1400" baseline="30000"/>
              </a:p>
            </c:rich>
          </c:tx>
          <c:layout>
            <c:manualLayout>
              <c:xMode val="edge"/>
              <c:yMode val="edge"/>
              <c:x val="1.6036341645662502E-2"/>
              <c:y val="0.429175958330703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1400"/>
            </a:pPr>
            <a:endParaRPr lang="zh-TW"/>
          </a:p>
        </c:txPr>
        <c:crossAx val="214461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31803736615201"/>
          <c:y val="0.31864197060113247"/>
          <c:w val="9.4342550047567975E-2"/>
          <c:h val="0.236597967626928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2400"/>
              <a:t>2026 </a:t>
            </a:r>
            <a:r>
              <a:rPr lang="zh-TW" altLang="en-US" sz="2400"/>
              <a:t>墾丁合界</a:t>
            </a: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春</a:t>
            </a:r>
            <a:r>
              <a:rPr lang="zh-TW" altLang="en-US" sz="2400"/>
              <a:t>季</a:t>
            </a:r>
            <a:endParaRPr lang="en-US" altLang="zh-TW" sz="2400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石斑魚尺寸分布</a:t>
            </a:r>
            <a:endParaRPr lang="zh-TW" altLang="zh-TW" sz="2400" b="1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5740949392567748E-2"/>
          <c:y val="0.22174716468392044"/>
          <c:w val="0.76835494867769316"/>
          <c:h val="0.615839245061389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'20260411'!$B$93</c:f>
              <c:strCache>
                <c:ptCount val="0"/>
              </c:strCache>
            </c:strRef>
          </c:tx>
          <c:spPr>
            <a:solidFill>
              <a:srgbClr val="FAC090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'20260411'!$B$101:$B$105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'20260411'!$A$94:$A$98</c:f>
              <c:strCache>
                <c:ptCount val="0"/>
              </c:strCache>
            </c:strRef>
          </c:cat>
          <c:val>
            <c:numRef>
              <c:f>'20260411'!$B$94:$B$98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4056-1D4C-AB01-90EDDCBCD91F}"/>
            </c:ext>
          </c:extLst>
        </c:ser>
        <c:ser>
          <c:idx val="1"/>
          <c:order val="1"/>
          <c:tx>
            <c:strRef>
              <c:f>'20260411'!$C$93</c:f>
              <c:strCache>
                <c:ptCount val="0"/>
              </c:strCache>
            </c:strRef>
          </c:tx>
          <c:spPr>
            <a:solidFill>
              <a:srgbClr val="E46C0B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'20260411'!$C$101:$C$105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'20260411'!$A$94:$A$98</c:f>
              <c:strCache>
                <c:ptCount val="0"/>
              </c:strCache>
            </c:strRef>
          </c:cat>
          <c:val>
            <c:numRef>
              <c:f>'20260411'!$C$94:$C$98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D-FAC7-0440-9455-BCC6E6FD2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649256"/>
        <c:axId val="2123652712"/>
      </c:barChart>
      <c:catAx>
        <c:axId val="2123649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/>
                  <a:t>公分</a:t>
                </a:r>
                <a:r>
                  <a:rPr lang="en-US" altLang="zh-TW"/>
                  <a:t>(cm)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23652712"/>
        <c:crosses val="autoZero"/>
        <c:auto val="1"/>
        <c:lblAlgn val="ctr"/>
        <c:lblOffset val="100"/>
        <c:noMultiLvlLbl val="0"/>
      </c:catAx>
      <c:valAx>
        <c:axId val="212365271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tint val="7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altLang="en-US"/>
                  <a:t>隻</a:t>
                </a:r>
                <a:r>
                  <a:rPr lang="en-US" altLang="zh-TW"/>
                  <a:t>/100m</a:t>
                </a:r>
                <a:r>
                  <a:rPr lang="en-US" altLang="zh-TW" baseline="30000"/>
                  <a:t>2</a:t>
                </a:r>
                <a:endParaRPr lang="zh-TW" altLang="en-US" baseline="30000"/>
              </a:p>
            </c:rich>
          </c:tx>
          <c:layout>
            <c:manualLayout>
              <c:xMode val="edge"/>
              <c:yMode val="edge"/>
              <c:x val="1.4597932186548311E-2"/>
              <c:y val="0.4312496164025785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zh-TW"/>
          </a:p>
        </c:txPr>
        <c:crossAx val="212364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46657188684753"/>
          <c:y val="0.32721173795312331"/>
          <c:w val="8.522145669291338E-2"/>
          <c:h val="0.3128393846602508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vert="horz"/>
    <a:lstStyle/>
    <a:p>
      <a:pPr>
        <a:defRPr sz="1600" b="1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>
              <a:defRPr sz="2400"/>
            </a:pP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硨磲貝尺寸分布</a:t>
            </a:r>
            <a:endParaRPr lang="zh-TW" altLang="zh-TW" sz="2400" b="1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524715660543"/>
          <c:y val="0.23064814814814816"/>
          <c:w val="0.82760981700204139"/>
          <c:h val="0.60098716827063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'20260411'!$B$140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'20260411'!$B$149:$B$154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'20260411'!$A$141:$A$146</c:f>
              <c:strCache>
                <c:ptCount val="0"/>
              </c:strCache>
            </c:strRef>
          </c:cat>
          <c:val>
            <c:numRef>
              <c:f>'20260411'!$B$141:$B$146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'20260411'!$C$140</c:f>
              <c:strCache>
                <c:ptCount val="0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'20260411'!$C$149:$C$154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'20260411'!$A$141:$A$146</c:f>
              <c:strCache>
                <c:ptCount val="0"/>
              </c:strCache>
            </c:strRef>
          </c:cat>
          <c:val>
            <c:numRef>
              <c:f>'20260411'!$C$141:$C$146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zh-TW" altLang="en-US" sz="1400"/>
                  <a:t>公分</a:t>
                </a:r>
                <a:r>
                  <a:rPr lang="en-US" altLang="zh-TW" sz="1400"/>
                  <a:t>(cm)</a:t>
                </a:r>
                <a:endParaRPr lang="zh-TW" altLang="en-US" sz="1400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500000" vert="horz"/>
          <a:lstStyle/>
          <a:p>
            <a:pPr>
              <a:defRPr sz="14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  <c:max val="2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zh-TW" altLang="en-US" sz="1400"/>
                  <a:t>隻</a:t>
                </a:r>
                <a:r>
                  <a:rPr lang="en-US" altLang="zh-TW" sz="1400"/>
                  <a:t>/100m</a:t>
                </a:r>
                <a:r>
                  <a:rPr lang="en-US" altLang="zh-TW" sz="1400" baseline="30000"/>
                  <a:t>2</a:t>
                </a:r>
                <a:endParaRPr lang="zh-TW" altLang="en-US" sz="1400" baseline="300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1400"/>
            </a:pPr>
            <a:endParaRPr lang="zh-TW"/>
          </a:p>
        </c:txPr>
        <c:crossAx val="214461688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819973024205304"/>
          <c:y val="0.33707093904928548"/>
          <c:w val="7.4982046515018955E-2"/>
          <c:h val="0.3149334718576845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>
              <a:defRPr sz="2400"/>
            </a:pP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環境衝擊程度</a:t>
            </a:r>
            <a:endParaRPr lang="zh-TW" altLang="en-US" sz="240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10247326277445"/>
          <c:y val="0.2110146613029304"/>
          <c:w val="0.80937035214348207"/>
          <c:h val="0.57816536730789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'20260411'!$B$161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'20260411'!$B$169:$B$173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'20260411'!$A$162:$A$166</c:f>
              <c:strCache>
                <c:ptCount val="0"/>
              </c:strCache>
            </c:strRef>
          </c:cat>
          <c:val>
            <c:numRef>
              <c:f>'20260411'!$B$162:$B$166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'20260411'!$C$161</c:f>
              <c:strCache>
                <c:ptCount val="0"/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'20260411'!$C$169:$C$173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'20260411'!$A$162:$A$166</c:f>
              <c:strCache>
                <c:ptCount val="0"/>
              </c:strCache>
            </c:strRef>
          </c:cat>
          <c:val>
            <c:numRef>
              <c:f>'20260411'!$C$162:$C$166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  <c:max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zh-TW" altLang="en-US" sz="1400"/>
                  <a:t>衝擊程度</a:t>
                </a:r>
              </a:p>
            </c:rich>
          </c:tx>
          <c:layout>
            <c:manualLayout>
              <c:xMode val="edge"/>
              <c:yMode val="edge"/>
              <c:x val="2.6610710119568386E-2"/>
              <c:y val="0.430652887139107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1400"/>
            </a:pPr>
            <a:endParaRPr lang="zh-TW"/>
          </a:p>
        </c:txPr>
        <c:crossAx val="214461688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131803736615201"/>
          <c:y val="0.31864197060113247"/>
          <c:w val="9.4342550047567975E-2"/>
          <c:h val="0.236597967626928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endParaRPr lang="en-US" altLang="zh-TW" sz="2400"/>
          </a:p>
          <a:p>
            <a:pPr>
              <a:defRPr sz="2400"/>
            </a:pPr>
            <a:r>
              <a:rPr lang="zh-TW" altLang="en-US" sz="2400"/>
              <a:t>指標性魚類尺寸分布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8370971857684472E-2"/>
          <c:y val="0.21564432050160393"/>
          <c:w val="0.83170330271216097"/>
          <c:h val="0.624511519393409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'20260411'!$B$68</c:f>
              <c:strCache>
                <c:ptCount val="0"/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'20260411'!$B$81:$B$90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'20260411'!$A$69:$A$78</c:f>
              <c:strCache>
                <c:ptCount val="0"/>
              </c:strCache>
            </c:strRef>
          </c:cat>
          <c:val>
            <c:numRef>
              <c:f>'20260411'!$B$69:$B$78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2B60-46FA-B35E-15C502B61E6F}"/>
            </c:ext>
          </c:extLst>
        </c:ser>
        <c:ser>
          <c:idx val="1"/>
          <c:order val="1"/>
          <c:tx>
            <c:strRef>
              <c:f>'20260411'!$C$68</c:f>
              <c:strCache>
                <c:ptCount val="0"/>
              </c:strCache>
            </c:strRef>
          </c:tx>
          <c:spPr>
            <a:solidFill>
              <a:srgbClr val="D87A00"/>
            </a:solidFill>
          </c:spPr>
          <c:invertIfNegative val="0"/>
          <c:errBars>
            <c:errBarType val="plus"/>
            <c:errValType val="cust"/>
            <c:noEndCap val="0"/>
            <c:plus>
              <c:numRef>
                <c:f>'20260411'!$C$81:$C$90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'20260411'!$A$69:$A$78</c:f>
              <c:strCache>
                <c:ptCount val="0"/>
              </c:strCache>
            </c:strRef>
          </c:cat>
          <c:val>
            <c:numRef>
              <c:f>'20260411'!$C$69:$C$78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96D1-3E48-9D2F-F4DE6061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4616888"/>
        <c:axId val="2130787288"/>
      </c:barChart>
      <c:catAx>
        <c:axId val="214461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 anchor="ctr" anchorCtr="1"/>
          <a:lstStyle/>
          <a:p>
            <a:pPr>
              <a:defRPr sz="1400"/>
            </a:pPr>
            <a:endParaRPr lang="zh-TW"/>
          </a:p>
        </c:txPr>
        <c:crossAx val="2130787288"/>
        <c:crosses val="autoZero"/>
        <c:auto val="0"/>
        <c:lblAlgn val="ctr"/>
        <c:lblOffset val="100"/>
        <c:noMultiLvlLbl val="0"/>
      </c:catAx>
      <c:valAx>
        <c:axId val="2130787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微軟正黑體"/>
                    <a:ea typeface="微軟正黑體"/>
                    <a:cs typeface="微軟正黑體"/>
                  </a:defRPr>
                </a:pPr>
                <a:r>
                  <a:rPr lang="zh-TW" altLang="en-US" sz="1400"/>
                  <a:t>隻</a:t>
                </a:r>
                <a:r>
                  <a:rPr lang="en-US" altLang="zh-TW" sz="1400"/>
                  <a:t>/100m</a:t>
                </a:r>
                <a:r>
                  <a:rPr lang="en-US" altLang="zh-TW" sz="1400" baseline="30000"/>
                  <a:t>2</a:t>
                </a:r>
                <a:endParaRPr lang="zh-TW" altLang="en-US" sz="1400" baseline="30000"/>
              </a:p>
            </c:rich>
          </c:tx>
          <c:overlay val="0"/>
        </c:title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zh-TW"/>
          </a:p>
        </c:txPr>
        <c:crossAx val="2144616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08966717701954"/>
          <c:y val="0.31632709973753281"/>
          <c:w val="7.3189887722368036E-2"/>
          <c:h val="0.32599810440361621"/>
        </c:manualLayout>
      </c:layout>
      <c:overlay val="0"/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微軟正黑體"/>
          <a:ea typeface="微軟正黑體"/>
          <a:cs typeface="微軟正黑體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 sz="2400"/>
            </a:pPr>
            <a:r>
              <a:rPr lang="en-US" altLang="zh-TW" sz="2400"/>
              <a:t>2026 </a:t>
            </a:r>
            <a:r>
              <a:rPr lang="zh-TW" altLang="en-US" sz="2400"/>
              <a:t>墾丁合界春季</a:t>
            </a:r>
            <a:r>
              <a:rPr lang="zh-TW" altLang="en-US" sz="2400" baseline="0"/>
              <a:t> </a:t>
            </a:r>
            <a:r>
              <a:rPr lang="zh-TW" altLang="en-US" sz="2400"/>
              <a:t>硬珊瑚型態佔比</a:t>
            </a:r>
            <a:endParaRPr lang="en-US" altLang="zh-TW" sz="2400"/>
          </a:p>
        </c:rich>
      </c:tx>
      <c:layout>
        <c:manualLayout>
          <c:xMode val="edge"/>
          <c:yMode val="edge"/>
          <c:x val="0.27739583333333334"/>
          <c:y val="6.71296296296296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8814614319043446E-2"/>
          <c:y val="0.25034722222222222"/>
          <c:w val="0.90977334864391946"/>
          <c:h val="0.5624912510936133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'20260411'!$A$29</c:f>
              <c:strCache>
                <c:ptCount val="0"/>
              </c:strCache>
            </c:strRef>
          </c:tx>
          <c:spPr>
            <a:solidFill>
              <a:srgbClr val="5B9BD5">
                <a:lumMod val="60000"/>
                <a:lumOff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'20260411'!$B$28:$C$28</c:f>
              <c:strCache>
                <c:ptCount val="0"/>
              </c:strCache>
            </c:strRef>
          </c:cat>
          <c:val>
            <c:numRef>
              <c:f>'20260411'!$B$29:$C$29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FB24-4D48-8EB7-F48AC6B8868B}"/>
            </c:ext>
          </c:extLst>
        </c:ser>
        <c:ser>
          <c:idx val="1"/>
          <c:order val="1"/>
          <c:tx>
            <c:strRef>
              <c:f>'20260411'!$A$30</c:f>
              <c:strCache>
                <c:ptCount val="0"/>
              </c:strCache>
            </c:strRef>
          </c:tx>
          <c:spPr>
            <a:solidFill>
              <a:srgbClr val="875000"/>
            </a:solidFill>
            <a:ln>
              <a:noFill/>
            </a:ln>
            <a:effectLst/>
          </c:spPr>
          <c:invertIfNegative val="0"/>
          <c:cat>
            <c:strRef>
              <c:f>'20260411'!$B$28:$C$28</c:f>
              <c:strCache>
                <c:ptCount val="0"/>
              </c:strCache>
            </c:strRef>
          </c:cat>
          <c:val>
            <c:numRef>
              <c:f>'20260411'!$B$30:$C$30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1-FB24-4D48-8EB7-F48AC6B8868B}"/>
            </c:ext>
          </c:extLst>
        </c:ser>
        <c:ser>
          <c:idx val="2"/>
          <c:order val="2"/>
          <c:tx>
            <c:strRef>
              <c:f>'20260411'!$A$31</c:f>
              <c:strCache>
                <c:ptCount val="0"/>
              </c:strCache>
            </c:strRef>
          </c:tx>
          <c:spPr>
            <a:solidFill>
              <a:srgbClr val="FFD966"/>
            </a:solidFill>
          </c:spPr>
          <c:invertIfNegative val="0"/>
          <c:cat>
            <c:strRef>
              <c:f>'20260411'!$B$28:$C$28</c:f>
              <c:strCache>
                <c:ptCount val="0"/>
              </c:strCache>
            </c:strRef>
          </c:cat>
          <c:val>
            <c:numRef>
              <c:f>'20260411'!$B$31:$C$31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5-1B13-B246-AB4E-5DCDB0C09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119344"/>
        <c:axId val="1887746895"/>
      </c:barChart>
      <c:catAx>
        <c:axId val="23119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400"/>
            </a:pPr>
            <a:endParaRPr lang="zh-TW"/>
          </a:p>
        </c:txPr>
        <c:crossAx val="1887746895"/>
        <c:crosses val="autoZero"/>
        <c:auto val="1"/>
        <c:lblAlgn val="ctr"/>
        <c:lblOffset val="100"/>
        <c:noMultiLvlLbl val="0"/>
      </c:catAx>
      <c:valAx>
        <c:axId val="1887746895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 sz="1200"/>
            </a:pPr>
            <a:endParaRPr lang="zh-TW"/>
          </a:p>
        </c:txPr>
        <c:crossAx val="2311934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2400"/>
            </a:pPr>
            <a:r>
              <a:rPr lang="zh-TW" altLang="en-US" sz="2400"/>
              <a:t>墾丁合界</a:t>
            </a:r>
            <a:r>
              <a:rPr lang="en-US" altLang="zh-TW" sz="2400"/>
              <a:t>_10</a:t>
            </a:r>
            <a:r>
              <a:rPr lang="en" altLang="zh-TW" sz="2400"/>
              <a:t>m </a:t>
            </a: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歷年</a:t>
            </a:r>
            <a:r>
              <a:rPr lang="zh-TW" altLang="en-US" sz="2400"/>
              <a:t>底質覆蓋率</a:t>
            </a:r>
          </a:p>
          <a:p>
            <a:pPr>
              <a:defRPr sz="2400"/>
            </a:pPr>
            <a:r>
              <a:rPr lang="en-US" altLang="zh-TW" sz="2400" b="1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</a:p>
        </c:rich>
      </c:tx>
      <c:layout>
        <c:manualLayout>
          <c:xMode val="edge"/>
          <c:yMode val="edge"/>
          <c:x val="0.34407241087051621"/>
          <c:y val="2.3847741688538933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156297003009455E-2"/>
          <c:y val="0.25871077457049152"/>
          <c:w val="0.89035537859809144"/>
          <c:h val="0.63769746976229957"/>
        </c:manualLayout>
      </c:layout>
      <c:lineChart>
        <c:grouping val="standard"/>
        <c:varyColors val="0"/>
        <c:ser>
          <c:idx val="0"/>
          <c:order val="0"/>
          <c:tx>
            <c:strRef>
              <c:f>'Summary (line)'!$B$75</c:f>
              <c:strCache>
                <c:ptCount val="0"/>
              </c:strCache>
            </c:strRef>
          </c:tx>
          <c:spPr>
            <a:ln w="19050">
              <a:solidFill>
                <a:srgbClr val="00B0F0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(line)'!$C$88:$AZ$88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(line)'!$C$88:$AZ$88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(line)'!$C$75:$W$75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4-4397-9E93-AA47F2FB550A}"/>
            </c:ext>
          </c:extLst>
        </c:ser>
        <c:ser>
          <c:idx val="1"/>
          <c:order val="1"/>
          <c:tx>
            <c:strRef>
              <c:f>'Summary (line)'!$B$76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(line)'!$C$89:$AZ$89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(line)'!$C$89:$AZ$89</c:f>
                <c:numCache>
                  <c:formatCode>General</c:formatCode>
                  <c:ptCount val="0"/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prstDash val="solid"/>
                <a:miter lim="800000"/>
                <a:tailEnd type="none" w="med" len="med"/>
              </a:ln>
              <a:effectLst/>
            </c:spPr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(line)'!$C$76:$W$76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4-4397-9E93-AA47F2FB550A}"/>
            </c:ext>
          </c:extLst>
        </c:ser>
        <c:ser>
          <c:idx val="2"/>
          <c:order val="2"/>
          <c:tx>
            <c:strRef>
              <c:f>'Summary (line)'!$B$77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(line)'!$C$90:$AZ$90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(line)'!$C$90:$AZ$90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(line)'!$C$77:$W$77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4-4397-9E93-AA47F2FB550A}"/>
            </c:ext>
          </c:extLst>
        </c:ser>
        <c:ser>
          <c:idx val="3"/>
          <c:order val="3"/>
          <c:tx>
            <c:strRef>
              <c:f>'Summary (line)'!$B$78</c:f>
              <c:strCache>
                <c:ptCount val="0"/>
              </c:strCache>
            </c:strRef>
          </c:tx>
          <c:spPr>
            <a:ln w="38100">
              <a:solidFill>
                <a:srgbClr val="FFC000"/>
              </a:solidFill>
              <a:round/>
            </a:ln>
          </c:spPr>
          <c:marker>
            <c:symbol val="x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(line)'!$C$91:$AZ$91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(line)'!$C$91:$AZ$91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(line)'!$C$78:$W$78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4-4397-9E93-AA47F2FB550A}"/>
            </c:ext>
          </c:extLst>
        </c:ser>
        <c:ser>
          <c:idx val="4"/>
          <c:order val="4"/>
          <c:tx>
            <c:strRef>
              <c:f>'Summary (line)'!$B$79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(line)'!$C$92:$AZ$92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(line)'!$C$92:$AZ$92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(line)'!$C$79:$W$79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E4-4397-9E93-AA47F2FB550A}"/>
            </c:ext>
          </c:extLst>
        </c:ser>
        <c:ser>
          <c:idx val="5"/>
          <c:order val="5"/>
          <c:tx>
            <c:strRef>
              <c:f>'Summary (line)'!$B$80</c:f>
              <c:strCache>
                <c:ptCount val="0"/>
              </c:strCache>
            </c:strRef>
          </c:tx>
          <c:spPr>
            <a:ln w="38100">
              <a:solidFill>
                <a:srgbClr val="70AD47"/>
              </a:solidFill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(line)'!$C$93:$AZ$93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(line)'!$C$93:$AZ$93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(line)'!$C$80:$W$80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E4-4397-9E93-AA47F2FB550A}"/>
            </c:ext>
          </c:extLst>
        </c:ser>
        <c:ser>
          <c:idx val="6"/>
          <c:order val="6"/>
          <c:tx>
            <c:strRef>
              <c:f>'Summary (line)'!$B$81</c:f>
              <c:strCache>
                <c:ptCount val="0"/>
              </c:strCache>
            </c:strRef>
          </c:tx>
          <c:spPr>
            <a:ln w="22320">
              <a:solidFill>
                <a:srgbClr val="773400"/>
              </a:solidFill>
              <a:round/>
            </a:ln>
          </c:spPr>
          <c:marker>
            <c:symbol val="plus"/>
            <c:size val="6"/>
            <c:spPr>
              <a:solidFill>
                <a:srgbClr val="7734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(line)'!$C$94:$AZ$94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(line)'!$C$94:$AZ$94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(line)'!$C$81:$W$81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E4-4397-9E93-AA47F2FB550A}"/>
            </c:ext>
          </c:extLst>
        </c:ser>
        <c:ser>
          <c:idx val="7"/>
          <c:order val="7"/>
          <c:tx>
            <c:strRef>
              <c:f>'Summary (line)'!$B$82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(line)'!$C$95:$AZ$95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(line)'!$C$95:$AZ$95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(line)'!$C$82:$W$82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E4-4397-9E93-AA47F2FB550A}"/>
            </c:ext>
          </c:extLst>
        </c:ser>
        <c:ser>
          <c:idx val="8"/>
          <c:order val="8"/>
          <c:tx>
            <c:strRef>
              <c:f>'Summary (line)'!$B$83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circle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(line)'!$C$96:$AZ$96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(line)'!$C$96:$AZ$96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(line)'!$C$83:$W$83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E4-4397-9E93-AA47F2FB550A}"/>
            </c:ext>
          </c:extLst>
        </c:ser>
        <c:ser>
          <c:idx val="9"/>
          <c:order val="9"/>
          <c:tx>
            <c:strRef>
              <c:f>'Summary (line)'!$B$84</c:f>
              <c:strCache>
                <c:ptCount val="0"/>
              </c:strCache>
            </c:strRef>
          </c:tx>
          <c:spPr>
            <a:ln w="22320">
              <a:solidFill>
                <a:srgbClr val="997300"/>
              </a:solidFill>
              <a:round/>
            </a:ln>
          </c:spPr>
          <c:marker>
            <c:symbol val="diamond"/>
            <c:size val="6"/>
            <c:spPr>
              <a:solidFill>
                <a:srgbClr val="997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</c:errBars>
          <c:cat>
            <c:numRef>
              <c:f>'Summary (line)'!$C$74:$W$74</c:f>
              <c:numCache>
                <c:formatCode>mmm\-yy</c:formatCode>
                <c:ptCount val="0"/>
              </c:numCache>
            </c:numRef>
          </c:cat>
          <c:val>
            <c:numRef>
              <c:f>'Summary (line)'!$C$84:$W$84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E4-4397-9E93-AA47F2FB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2137182120"/>
        <c:axId val="2137196312"/>
      </c:lineChart>
      <c:catAx>
        <c:axId val="2137182120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1200000" vert="horz"/>
          <a:lstStyle/>
          <a:p>
            <a:pPr>
              <a:defRPr sz="1400"/>
            </a:pPr>
            <a:endParaRPr lang="zh-TW"/>
          </a:p>
        </c:txPr>
        <c:crossAx val="2137196312"/>
        <c:crosses val="autoZero"/>
        <c:auto val="0"/>
        <c:lblAlgn val="ctr"/>
        <c:lblOffset val="100"/>
        <c:tickLblSkip val="1"/>
        <c:noMultiLvlLbl val="1"/>
      </c:catAx>
      <c:valAx>
        <c:axId val="21371963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en-US" altLang="zh-TW"/>
                  <a:t>Percent(%)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1.1190808180227472E-2"/>
              <c:y val="0.43528980752405949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/>
            </a:pPr>
            <a:endParaRPr lang="zh-TW"/>
          </a:p>
        </c:txPr>
        <c:crossAx val="2137182120"/>
        <c:crosses val="autoZero"/>
        <c:crossBetween val="midCat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7210037671002801"/>
          <c:y val="0.17419320977380223"/>
          <c:w val="0.67378277253734653"/>
          <c:h val="4.4256886417907447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txPr>
    <a:bodyPr/>
    <a:lstStyle/>
    <a:p>
      <a:pPr>
        <a:defRPr b="1" i="0">
          <a:solidFill>
            <a:schemeClr val="tx1"/>
          </a:solidFill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2400"/>
            </a:pPr>
            <a:r>
              <a:rPr lang="zh-TW" altLang="en-US" sz="2400"/>
              <a:t>墾丁合界</a:t>
            </a:r>
            <a:r>
              <a:rPr lang="en-US" altLang="zh-TW" sz="2400"/>
              <a:t>_5</a:t>
            </a:r>
            <a:r>
              <a:rPr lang="en" altLang="zh-TW" sz="2400"/>
              <a:t>m </a:t>
            </a:r>
            <a:r>
              <a:rPr lang="zh-TW" altLang="en-US" sz="2400" b="1" i="0" u="none" strike="noStrike" kern="1200" baseline="0">
                <a:solidFill>
                  <a:sysClr val="windowText" lastClr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歷年</a:t>
            </a:r>
            <a:r>
              <a:rPr lang="zh-TW" altLang="en-US" sz="2400"/>
              <a:t>底質覆蓋率</a:t>
            </a:r>
          </a:p>
          <a:p>
            <a:pPr>
              <a:defRPr sz="2400"/>
            </a:pPr>
            <a:r>
              <a:rPr lang="en-US" altLang="zh-TW" sz="2400"/>
              <a:t>2016-202604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4531318350831146E-2"/>
          <c:y val="0.20614241579177603"/>
          <c:w val="0.89945100612423445"/>
          <c:h val="0.69373797025371831"/>
        </c:manualLayout>
      </c:layout>
      <c:lineChart>
        <c:grouping val="standard"/>
        <c:varyColors val="0"/>
        <c:ser>
          <c:idx val="0"/>
          <c:order val="0"/>
          <c:tx>
            <c:strRef>
              <c:f>'Summary (line)'!$B$2</c:f>
              <c:strCache>
                <c:ptCount val="0"/>
              </c:strCache>
            </c:strRef>
          </c:tx>
          <c:spPr>
            <a:ln w="19050">
              <a:solidFill>
                <a:srgbClr val="00B0F0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(line)'!$C$18:$AZ$18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(line)'!$C$18:$AZ$18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(line)'!$C$2:$W$2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4-4397-9E93-AA47F2FB550A}"/>
            </c:ext>
          </c:extLst>
        </c:ser>
        <c:ser>
          <c:idx val="1"/>
          <c:order val="1"/>
          <c:tx>
            <c:strRef>
              <c:f>'Summary (line)'!$B$3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(line)'!$C$19:$AZ$19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(line)'!$C$19:$AZ$19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(line)'!$C$3:$W$3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E4-4397-9E93-AA47F2FB550A}"/>
            </c:ext>
          </c:extLst>
        </c:ser>
        <c:ser>
          <c:idx val="2"/>
          <c:order val="2"/>
          <c:tx>
            <c:strRef>
              <c:f>'Summary (line)'!$B$4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(line)'!$C$20:$AZ$20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(line)'!$C$20:$AZ$20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(line)'!$C$4:$W$4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E4-4397-9E93-AA47F2FB550A}"/>
            </c:ext>
          </c:extLst>
        </c:ser>
        <c:ser>
          <c:idx val="3"/>
          <c:order val="3"/>
          <c:tx>
            <c:strRef>
              <c:f>'Summary (line)'!$B$5</c:f>
              <c:strCache>
                <c:ptCount val="0"/>
              </c:strCache>
            </c:strRef>
          </c:tx>
          <c:spPr>
            <a:ln w="38100">
              <a:solidFill>
                <a:srgbClr val="FFC000"/>
              </a:solidFill>
              <a:round/>
            </a:ln>
          </c:spPr>
          <c:marker>
            <c:symbol val="x"/>
            <c:size val="8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(line)'!$C$21:$AZ$21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(line)'!$C$21:$AZ$21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(line)'!$C$5:$W$5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E4-4397-9E93-AA47F2FB550A}"/>
            </c:ext>
          </c:extLst>
        </c:ser>
        <c:ser>
          <c:idx val="4"/>
          <c:order val="4"/>
          <c:tx>
            <c:strRef>
              <c:f>'Summary (line)'!$B$6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(line)'!$C$22:$AZ$22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(line)'!$C$22:$AZ$22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(line)'!$C$6:$W$6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E4-4397-9E93-AA47F2FB550A}"/>
            </c:ext>
          </c:extLst>
        </c:ser>
        <c:ser>
          <c:idx val="5"/>
          <c:order val="5"/>
          <c:tx>
            <c:strRef>
              <c:f>'Summary (line)'!$B$7</c:f>
              <c:strCache>
                <c:ptCount val="0"/>
              </c:strCache>
            </c:strRef>
          </c:tx>
          <c:spPr>
            <a:ln w="38100">
              <a:solidFill>
                <a:srgbClr val="70AD47"/>
              </a:solidFill>
              <a:round/>
            </a:ln>
          </c:spPr>
          <c:marker>
            <c:symbol val="circle"/>
            <c:size val="8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(line)'!$C$23:$AZ$23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(line)'!$C$23:$AZ$23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(line)'!$C$7:$W$7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E4-4397-9E93-AA47F2FB550A}"/>
            </c:ext>
          </c:extLst>
        </c:ser>
        <c:ser>
          <c:idx val="6"/>
          <c:order val="6"/>
          <c:tx>
            <c:strRef>
              <c:f>'Summary (line)'!$B$8</c:f>
              <c:strCache>
                <c:ptCount val="0"/>
              </c:strCache>
            </c:strRef>
          </c:tx>
          <c:spPr>
            <a:ln w="22320">
              <a:solidFill>
                <a:srgbClr val="773400"/>
              </a:solidFill>
              <a:round/>
            </a:ln>
          </c:spPr>
          <c:marker>
            <c:symbol val="plus"/>
            <c:size val="6"/>
            <c:spPr>
              <a:solidFill>
                <a:srgbClr val="7734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plus"/>
            <c:errValType val="cust"/>
            <c:noEndCap val="0"/>
            <c:plus>
              <c:numRef>
                <c:f>'Summary (line)'!$C$24:$AZ$24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(line)'!$C$24:$AZ$24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(line)'!$C$8:$W$8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E4-4397-9E93-AA47F2FB550A}"/>
            </c:ext>
          </c:extLst>
        </c:ser>
        <c:ser>
          <c:idx val="7"/>
          <c:order val="7"/>
          <c:tx>
            <c:strRef>
              <c:f>'Summary (line)'!$B$9</c:f>
              <c:strCache>
                <c:ptCount val="0"/>
              </c:strCache>
            </c:strRef>
          </c:tx>
          <c:spPr>
            <a:ln w="1905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(line)'!$C$25:$AZ$25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(line)'!$C$25:$AZ$25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(line)'!$C$9:$W$9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E4-4397-9E93-AA47F2FB550A}"/>
            </c:ext>
          </c:extLst>
        </c:ser>
        <c:ser>
          <c:idx val="8"/>
          <c:order val="8"/>
          <c:tx>
            <c:strRef>
              <c:f>'Summary (line)'!$B$10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circle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(line)'!$C$26:$AZ$26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(line)'!$C$26:$AZ$26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(line)'!$C$10:$W$10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E4-4397-9E93-AA47F2FB550A}"/>
            </c:ext>
          </c:extLst>
        </c:ser>
        <c:ser>
          <c:idx val="9"/>
          <c:order val="9"/>
          <c:tx>
            <c:strRef>
              <c:f>'Summary (line)'!$B$11</c:f>
              <c:strCache>
                <c:ptCount val="0"/>
              </c:strCache>
            </c:strRef>
          </c:tx>
          <c:spPr>
            <a:ln w="22320">
              <a:solidFill>
                <a:srgbClr val="997300"/>
              </a:solidFill>
              <a:round/>
            </a:ln>
          </c:spPr>
          <c:marker>
            <c:symbol val="diamond"/>
            <c:size val="6"/>
            <c:spPr>
              <a:solidFill>
                <a:srgbClr val="9973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(line)'!$C$27:$AZ$27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(line)'!$C$27:$AZ$27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(line)'!$C$11:$W$11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E4-4397-9E93-AA47F2FB5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2137182120"/>
        <c:axId val="2137196312"/>
      </c:lineChart>
      <c:catAx>
        <c:axId val="2137182120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1200000" vert="horz"/>
          <a:lstStyle/>
          <a:p>
            <a:pPr>
              <a:defRPr sz="1400" b="1"/>
            </a:pPr>
            <a:endParaRPr lang="zh-TW"/>
          </a:p>
        </c:txPr>
        <c:crossAx val="2137196312"/>
        <c:crosses val="autoZero"/>
        <c:auto val="0"/>
        <c:lblAlgn val="ctr"/>
        <c:lblOffset val="100"/>
        <c:tickLblSkip val="1"/>
        <c:noMultiLvlLbl val="1"/>
      </c:catAx>
      <c:valAx>
        <c:axId val="21371963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400"/>
                </a:pPr>
                <a:r>
                  <a:rPr lang="en-US" altLang="zh-TW"/>
                  <a:t>Percent(%)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1.2058863735783028E-2"/>
              <c:y val="0.43355369641294839"/>
            </c:manualLayout>
          </c:layout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/>
            </a:pPr>
            <a:endParaRPr lang="zh-TW"/>
          </a:p>
        </c:txPr>
        <c:crossAx val="2137182120"/>
        <c:crosses val="autoZero"/>
        <c:crossBetween val="midCat"/>
      </c:valAx>
      <c:spPr>
        <a:noFill/>
        <a:ln>
          <a:noFill/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sz="1400"/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txPr>
    <a:bodyPr/>
    <a:lstStyle/>
    <a:p>
      <a:pPr>
        <a:defRPr b="1" i="0">
          <a:solidFill>
            <a:schemeClr val="tx1"/>
          </a:solidFill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vert="horz"/>
          <a:lstStyle/>
          <a:p>
            <a:pPr>
              <a:defRPr sz="2400"/>
            </a:pPr>
            <a:r>
              <a:rPr lang="zh-TW" sz="2400"/>
              <a:t>墾丁合界</a:t>
            </a:r>
            <a:r>
              <a:rPr lang="en-US" sz="2400"/>
              <a:t>_歷年</a:t>
            </a:r>
            <a:r>
              <a:rPr lang="zh-TW" sz="2400"/>
              <a:t>活珊瑚覆蓋率</a:t>
            </a:r>
          </a:p>
          <a:p>
            <a:pPr>
              <a:defRPr sz="2400"/>
            </a:pPr>
            <a:r>
              <a:rPr lang="en-US" sz="2400"/>
              <a:t>2016-202604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(line)'!$A$1</c:f>
              <c:strCache>
                <c:ptCount val="0"/>
              </c:strCache>
            </c:strRef>
          </c:tx>
          <c:spPr>
            <a:ln w="63500" cap="rnd">
              <a:solidFill>
                <a:srgbClr val="FFC000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6"/>
              <c:layout>
                <c:manualLayout>
                  <c:x val="-3.3356038411911169E-2"/>
                  <c:y val="4.96663799787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CA-0346-9440-F92749BB3835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FFC000"/>
                    </a:solidFill>
                  </a:defRPr>
                </a:pPr>
                <a:endParaRPr lang="zh-TW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Lit>
                <c:ptCount val="0"/>
              </c:numLit>
            </c:plus>
            <c:minus>
              <c:numLit>
                <c:ptCount val="0"/>
              </c:numLit>
            </c:minus>
          </c:errBar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(line)'!$C$12:$W$12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B-E04C-9879-D58B6EFB66DA}"/>
            </c:ext>
          </c:extLst>
        </c:ser>
        <c:ser>
          <c:idx val="3"/>
          <c:order val="1"/>
          <c:tx>
            <c:strRef>
              <c:f>'Summary (line)'!$B$15</c:f>
              <c:strCache>
                <c:ptCount val="0"/>
              </c:strCache>
            </c:strRef>
          </c:tx>
          <c:spPr>
            <a:ln w="63500">
              <a:solidFill>
                <a:srgbClr val="ED7D31"/>
              </a:solidFill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dLbl>
              <c:idx val="2"/>
              <c:layout>
                <c:manualLayout>
                  <c:x val="-3.2301468749820948E-2"/>
                  <c:y val="-5.14654163276680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CA-0346-9440-F92749BB3835}"/>
                </c:ext>
              </c:extLst>
            </c:dLbl>
            <c:numFmt formatCode="#,##0.0_);[Red]\(#,##0.0\)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accent2"/>
                    </a:solidFill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(line)'!$C$1:$W$1</c:f>
              <c:numCache>
                <c:formatCode>mmm\-yy</c:formatCode>
                <c:ptCount val="0"/>
              </c:numCache>
            </c:numRef>
          </c:cat>
          <c:val>
            <c:numRef>
              <c:f>'Summary (line)'!$C$85:$W$85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369-8A49-80A2-642297452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07903"/>
        <c:axId val="1866687680"/>
      </c:lineChart>
      <c:catAx>
        <c:axId val="3267079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 rot="-1800000" vert="horz"/>
          <a:lstStyle/>
          <a:p>
            <a:pPr>
              <a:defRPr/>
            </a:pPr>
            <a:endParaRPr lang="zh-TW"/>
          </a:p>
        </c:txPr>
        <c:crossAx val="1866687680"/>
        <c:crosses val="autoZero"/>
        <c:auto val="0"/>
        <c:lblAlgn val="ctr"/>
        <c:lblOffset val="100"/>
        <c:noMultiLvlLbl val="0"/>
      </c:catAx>
      <c:valAx>
        <c:axId val="18666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Percent(%)</a:t>
                </a:r>
                <a:endParaRPr lang="zh-TW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32670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txPr>
        <a:bodyPr/>
        <a:lstStyle/>
        <a:p>
          <a:pPr>
            <a:defRPr sz="1600"/>
          </a:pPr>
          <a:endParaRPr lang="zh-T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>
          <a:solidFill>
            <a:schemeClr val="tx1"/>
          </a:solidFill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all" spc="120" normalizeH="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r>
              <a:rPr lang="zh-TW" altLang="en-US"/>
              <a:t>硬珊瑚和魔鬼海膽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all" spc="120" normalizeH="0" baseline="0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(line)'!$B$146</c:f>
              <c:strCache>
                <c:ptCount val="0"/>
              </c:strCache>
            </c:strRef>
          </c:tx>
          <c:spPr>
            <a:ln w="6350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'Summary (line)'!$C$145:$W$145</c:f>
              <c:numCache>
                <c:formatCode>mmm\-yy</c:formatCode>
                <c:ptCount val="0"/>
              </c:numCache>
            </c:numRef>
          </c:cat>
          <c:val>
            <c:numRef>
              <c:f>'Summary (line)'!$C$146:$W$146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3B-E04C-9879-D58B6EFB66DA}"/>
            </c:ext>
          </c:extLst>
        </c:ser>
        <c:ser>
          <c:idx val="1"/>
          <c:order val="1"/>
          <c:tx>
            <c:strRef>
              <c:f>'Summary (line)'!$B$147</c:f>
              <c:strCache>
                <c:ptCount val="0"/>
              </c:strCache>
            </c:strRef>
          </c:tx>
          <c:spPr>
            <a:ln w="6350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'Summary (line)'!$C$145:$W$145</c:f>
              <c:numCache>
                <c:formatCode>mmm\-yy</c:formatCode>
                <c:ptCount val="0"/>
              </c:numCache>
            </c:numRef>
          </c:cat>
          <c:val>
            <c:numRef>
              <c:f>'Summary (line)'!$C$147:$W$147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3B-E04C-9879-D58B6EFB66DA}"/>
            </c:ext>
          </c:extLst>
        </c:ser>
        <c:ser>
          <c:idx val="2"/>
          <c:order val="2"/>
          <c:tx>
            <c:strRef>
              <c:f>'Summary (line)'!$B$148</c:f>
              <c:strCache>
                <c:ptCount val="0"/>
              </c:strCache>
            </c:strRef>
          </c:tx>
          <c:spPr>
            <a:ln w="63500" cap="rnd">
              <a:solidFill>
                <a:srgbClr val="C3D79B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f>'Summary (line)'!$C$145:$W$145</c:f>
              <c:numCache>
                <c:formatCode>mmm\-yy</c:formatCode>
                <c:ptCount val="0"/>
              </c:numCache>
            </c:numRef>
          </c:cat>
          <c:val>
            <c:numRef>
              <c:f>'Summary (line)'!$C$148:$W$148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3B-E04C-9879-D58B6EFB66DA}"/>
            </c:ext>
          </c:extLst>
        </c:ser>
        <c:ser>
          <c:idx val="3"/>
          <c:order val="3"/>
          <c:tx>
            <c:strRef>
              <c:f>'Summary (line)'!$B$149</c:f>
              <c:strCache>
                <c:ptCount val="0"/>
              </c:strCache>
            </c:strRef>
          </c:tx>
          <c:spPr>
            <a:ln w="63500" cap="rnd">
              <a:solidFill>
                <a:srgbClr val="77933B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ysClr val="window" lastClr="FFFFFF"/>
                </a:solidFill>
                <a:round/>
              </a:ln>
              <a:effectLst/>
            </c:spPr>
          </c:marker>
          <c:cat>
            <c:numRef>
              <c:f>'Summary (line)'!$C$145:$W$145</c:f>
              <c:numCache>
                <c:formatCode>mmm\-yy</c:formatCode>
                <c:ptCount val="0"/>
              </c:numCache>
            </c:numRef>
          </c:cat>
          <c:val>
            <c:numRef>
              <c:f>'Summary (line)'!$C$149:$W$149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3B-E04C-9879-D58B6EFB6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07903"/>
        <c:axId val="1866687680"/>
      </c:lineChart>
      <c:catAx>
        <c:axId val="3267079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1866687680"/>
        <c:crosses val="autoZero"/>
        <c:auto val="0"/>
        <c:lblAlgn val="ctr"/>
        <c:lblOffset val="100"/>
        <c:noMultiLvlLbl val="0"/>
      </c:catAx>
      <c:valAx>
        <c:axId val="18666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/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zh-TW" altLang="en-US"/>
                  <a:t>隻</a:t>
                </a:r>
                <a:r>
                  <a:rPr lang="en-US" altLang="zh-TW"/>
                  <a:t>/100m</a:t>
                </a:r>
                <a:r>
                  <a:rPr lang="en-US" altLang="zh-TW" baseline="30000"/>
                  <a:t>2</a:t>
                </a:r>
                <a:endParaRPr lang="zh-TW" altLang="en-US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/>
                  </a:solidFill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32670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span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>
          <a:solidFill>
            <a:schemeClr val="tx1"/>
          </a:solidFill>
          <a:latin typeface="Microsoft JhengHei" panose="020B0604030504040204" pitchFamily="34" charset="-120"/>
          <a:ea typeface="Microsoft JhengHei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zh-TW" sz="2400" b="1" i="0" baseline="0">
                <a:effectLst/>
              </a:rPr>
              <a:t>墾丁合界</a:t>
            </a:r>
            <a:r>
              <a:rPr lang="en-US" altLang="zh-TW" sz="2400" b="1" i="0" baseline="0">
                <a:effectLst/>
              </a:rPr>
              <a:t> 10m </a:t>
            </a:r>
            <a:r>
              <a:rPr lang="zh-TW" altLang="en-US" sz="2400" b="1" i="0" baseline="0">
                <a:effectLst/>
              </a:rPr>
              <a:t>歷年</a:t>
            </a:r>
            <a:r>
              <a:rPr lang="zh-TW" altLang="zh-TW" sz="2400" b="1" i="0" baseline="0">
                <a:effectLst/>
              </a:rPr>
              <a:t>指標性魚類族群密度</a:t>
            </a:r>
            <a:endParaRPr lang="en-US" altLang="zh-TW" sz="2400" b="1" i="0" baseline="0">
              <a:effectLst/>
            </a:endParaRPr>
          </a:p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zh-TW" sz="2400">
              <a:effectLst/>
            </a:endParaRPr>
          </a:p>
        </c:rich>
      </c:tx>
      <c:layout>
        <c:manualLayout>
          <c:xMode val="edge"/>
          <c:yMode val="edge"/>
          <c:x val="0.30459850721784776"/>
          <c:y val="3.8194444444444448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3848760918962"/>
          <c:y val="0.19995731180596765"/>
          <c:w val="0.84902620323580924"/>
          <c:h val="0.67450517454666148"/>
        </c:manualLayout>
      </c:layout>
      <c:lineChart>
        <c:grouping val="standard"/>
        <c:varyColors val="0"/>
        <c:ser>
          <c:idx val="0"/>
          <c:order val="0"/>
          <c:tx>
            <c:strRef>
              <c:f>'Summary (fish)'!$B$69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(fish)'!$C$81:$Y$81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(fish)'!$C$81:$Y$81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(fish)'!$C$69:$V$69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6-EC4D-9A40-03BD5A302FBA}"/>
            </c:ext>
          </c:extLst>
        </c:ser>
        <c:ser>
          <c:idx val="1"/>
          <c:order val="1"/>
          <c:tx>
            <c:strRef>
              <c:f>'Summary (fish)'!$B$70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(fish)'!$C$82:$Y$82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(fish)'!$C$82:$Y$82</c:f>
                <c:numCache>
                  <c:formatCode>General</c:formatCode>
                  <c:ptCount val="0"/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prstDash val="solid"/>
                <a:miter lim="800000"/>
                <a:tailEnd type="none" w="med" len="med"/>
              </a:ln>
              <a:effectLst/>
            </c:spPr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(fish)'!$C$70:$V$70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6-EC4D-9A40-03BD5A302FBA}"/>
            </c:ext>
          </c:extLst>
        </c:ser>
        <c:ser>
          <c:idx val="2"/>
          <c:order val="2"/>
          <c:tx>
            <c:strRef>
              <c:f>'Summary (fish)'!$B$71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(fish)'!$C$83:$Y$83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(fish)'!$C$83:$Y$83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(fish)'!$C$71:$V$71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26-EC4D-9A40-03BD5A302FBA}"/>
            </c:ext>
          </c:extLst>
        </c:ser>
        <c:ser>
          <c:idx val="3"/>
          <c:order val="3"/>
          <c:tx>
            <c:strRef>
              <c:f>'Summary (fish)'!$B$72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(fish)'!$C$84:$Y$84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(fish)'!$C$84:$Y$84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(fish)'!$C$72:$V$72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26-EC4D-9A40-03BD5A302FBA}"/>
            </c:ext>
          </c:extLst>
        </c:ser>
        <c:ser>
          <c:idx val="4"/>
          <c:order val="4"/>
          <c:tx>
            <c:strRef>
              <c:f>'Summary (fish)'!$B$73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(fish)'!$C$85:$Y$85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(fish)'!$C$85:$Y$85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(fish)'!$C$73:$V$73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26-EC4D-9A40-03BD5A302FBA}"/>
            </c:ext>
          </c:extLst>
        </c:ser>
        <c:ser>
          <c:idx val="5"/>
          <c:order val="5"/>
          <c:tx>
            <c:strRef>
              <c:f>'Summary (fish)'!$B$74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(fish)'!$C$86:$Y$86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(fish)'!$C$86:$Y$86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(fish)'!$C$74:$V$74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26-EC4D-9A40-03BD5A302FBA}"/>
            </c:ext>
          </c:extLst>
        </c:ser>
        <c:ser>
          <c:idx val="6"/>
          <c:order val="6"/>
          <c:tx>
            <c:strRef>
              <c:f>'Summary (fish)'!$B$75</c:f>
              <c:strCache>
                <c:ptCount val="0"/>
              </c:strCache>
            </c:strRef>
          </c:tx>
          <c:spPr>
            <a:ln w="22320">
              <a:solidFill>
                <a:srgbClr val="255E91"/>
              </a:solidFill>
              <a:round/>
            </a:ln>
          </c:spPr>
          <c:marker>
            <c:symbol val="plus"/>
            <c:size val="6"/>
            <c:spPr>
              <a:solidFill>
                <a:srgbClr val="255E9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(fish)'!$C$87:$Y$87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(fish)'!$C$87:$Y$87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(fish)'!$C$75:$V$75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E26-EC4D-9A40-03BD5A302FBA}"/>
            </c:ext>
          </c:extLst>
        </c:ser>
        <c:ser>
          <c:idx val="7"/>
          <c:order val="7"/>
          <c:tx>
            <c:strRef>
              <c:f>'Summary (fish)'!$B$76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(fish)'!$C$88:$Y$88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(fish)'!$C$88:$Y$88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(fish)'!$C$76:$V$76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E26-EC4D-9A40-03BD5A302FBA}"/>
            </c:ext>
          </c:extLst>
        </c:ser>
        <c:ser>
          <c:idx val="8"/>
          <c:order val="8"/>
          <c:tx>
            <c:strRef>
              <c:f>'Summary (fish)'!$B$77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(fish)'!$C$89:$Y$89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(fish)'!$C$89:$Y$89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(fish)'!$C$77:$V$77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E26-EC4D-9A40-03BD5A302FBA}"/>
            </c:ext>
          </c:extLst>
        </c:ser>
        <c:ser>
          <c:idx val="9"/>
          <c:order val="9"/>
          <c:tx>
            <c:strRef>
              <c:f>'Summary (fish)'!$B$78</c:f>
              <c:strCache>
                <c:ptCount val="0"/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'Summary (fish)'!$C$90:$Y$90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(fish)'!$C$90:$Y$90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(fish)'!$C$68:$V$68</c:f>
              <c:numCache>
                <c:formatCode>mmm\-yy</c:formatCode>
                <c:ptCount val="0"/>
              </c:numCache>
            </c:numRef>
          </c:cat>
          <c:val>
            <c:numRef>
              <c:f>'Summary (fish)'!$C$78:$V$78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BE-9743-BFA9-B720CDCCB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844008"/>
        <c:axId val="2121831160"/>
      </c:lineChart>
      <c:catAx>
        <c:axId val="2121844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31160"/>
        <c:crosses val="autoZero"/>
        <c:auto val="0"/>
        <c:lblAlgn val="ctr"/>
        <c:lblOffset val="100"/>
        <c:noMultiLvlLbl val="1"/>
      </c:catAx>
      <c:valAx>
        <c:axId val="2121831160"/>
        <c:scaling>
          <c:orientation val="minMax"/>
          <c:max val="3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600" b="1" i="0" u="none" strike="noStrike" kern="1200" baseline="0">
                    <a:solidFill>
                      <a:sysClr val="windowText" lastClr="000000"/>
                    </a:solidFill>
                  </a:rPr>
                  <a:t>隻</a:t>
                </a:r>
                <a:r>
                  <a:rPr lang="en-US" altLang="zh-TW" sz="1600" b="1" i="0" u="none" strike="noStrike" kern="1200" baseline="0">
                    <a:solidFill>
                      <a:sysClr val="windowText" lastClr="000000"/>
                    </a:solidFill>
                  </a:rPr>
                  <a:t>/100m</a:t>
                </a:r>
                <a:r>
                  <a:rPr lang="en-US" altLang="zh-TW" sz="1600" b="1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endParaRPr lang="zh-TW" altLang="en-US" sz="1600" b="1" i="0" u="none" strike="noStrike" kern="1200" baseline="30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365594925634297E-2"/>
              <c:y val="0.43300757327209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44008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17802657480315"/>
          <c:y val="0.20092683727034122"/>
          <c:w val="0.82984908136482938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zh-TW" sz="2400" b="1" i="0" baseline="0">
                <a:effectLst/>
              </a:rPr>
              <a:t>墾丁合界</a:t>
            </a:r>
            <a:r>
              <a:rPr lang="zh-TW" altLang="en-US" sz="2400" b="1" i="0" baseline="0">
                <a:effectLst/>
              </a:rPr>
              <a:t> </a:t>
            </a:r>
            <a:r>
              <a:rPr lang="en-US" altLang="zh-TW" sz="2400" b="1" i="0" baseline="0">
                <a:effectLst/>
              </a:rPr>
              <a:t>5m</a:t>
            </a:r>
            <a:r>
              <a:rPr lang="zh-TW" altLang="en-US" sz="2400" b="1" i="0" baseline="0">
                <a:effectLst/>
              </a:rPr>
              <a:t> 歷年</a:t>
            </a:r>
            <a:r>
              <a:rPr lang="zh-TW" altLang="zh-TW" sz="2400" b="1" i="0" baseline="0">
                <a:effectLst/>
              </a:rPr>
              <a:t>指標性魚類族群密度</a:t>
            </a:r>
            <a:endParaRPr lang="en-US" altLang="zh-TW" sz="2400" b="1" i="0" baseline="0">
              <a:effectLst/>
            </a:endParaRPr>
          </a:p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zh-TW" sz="2400">
              <a:effectLst/>
            </a:endParaRPr>
          </a:p>
        </c:rich>
      </c:tx>
      <c:layout>
        <c:manualLayout>
          <c:xMode val="edge"/>
          <c:yMode val="edge"/>
          <c:x val="0.31042965332458444"/>
          <c:y val="2.7777777777777776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28166010498687E-2"/>
          <c:y val="0.17083305993000875"/>
          <c:w val="0.91332123523622044"/>
          <c:h val="0.6871343230533683"/>
        </c:manualLayout>
      </c:layout>
      <c:lineChart>
        <c:grouping val="standard"/>
        <c:varyColors val="0"/>
        <c:ser>
          <c:idx val="0"/>
          <c:order val="0"/>
          <c:tx>
            <c:strRef>
              <c:f>'Summary (fish)'!$B$2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(fish)'!$C$14:$Z$14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(fish)'!$C$14:$Z$14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(fish)'!$C$2:$V$2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1-0E4D-ABBD-2E1B7C77C40A}"/>
            </c:ext>
          </c:extLst>
        </c:ser>
        <c:ser>
          <c:idx val="1"/>
          <c:order val="1"/>
          <c:tx>
            <c:strRef>
              <c:f>'Summary (fish)'!$B$3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(fish)'!$C$15:$Z$15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(fish)'!$C$15:$Z$15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(fish)'!$C$3:$V$3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1-0E4D-ABBD-2E1B7C77C40A}"/>
            </c:ext>
          </c:extLst>
        </c:ser>
        <c:ser>
          <c:idx val="2"/>
          <c:order val="2"/>
          <c:tx>
            <c:strRef>
              <c:f>'Summary (fish)'!$B$4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(fish)'!$C$16:$Z$16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(fish)'!$C$16:$Z$16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(fish)'!$C$4:$V$4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1-0E4D-ABBD-2E1B7C77C40A}"/>
            </c:ext>
          </c:extLst>
        </c:ser>
        <c:ser>
          <c:idx val="3"/>
          <c:order val="3"/>
          <c:tx>
            <c:strRef>
              <c:f>'Summary (fish)'!$B$5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(fish)'!$C$17:$Z$17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(fish)'!$C$17:$Z$17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(fish)'!$C$5:$V$5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31-0E4D-ABBD-2E1B7C77C40A}"/>
            </c:ext>
          </c:extLst>
        </c:ser>
        <c:ser>
          <c:idx val="4"/>
          <c:order val="4"/>
          <c:tx>
            <c:strRef>
              <c:f>'Summary (fish)'!$B$6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(fish)'!$C$18:$Z$18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(fish)'!$C$18:$Z$18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(fish)'!$C$6:$V$6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31-0E4D-ABBD-2E1B7C77C40A}"/>
            </c:ext>
          </c:extLst>
        </c:ser>
        <c:ser>
          <c:idx val="5"/>
          <c:order val="5"/>
          <c:tx>
            <c:strRef>
              <c:f>'Summary (fish)'!$B$7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(fish)'!$C$19:$Z$19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(fish)'!$C$19:$Z$19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(fish)'!$C$7:$V$7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31-0E4D-ABBD-2E1B7C77C40A}"/>
            </c:ext>
          </c:extLst>
        </c:ser>
        <c:ser>
          <c:idx val="6"/>
          <c:order val="6"/>
          <c:tx>
            <c:strRef>
              <c:f>'Summary (fish)'!$B$8</c:f>
              <c:strCache>
                <c:ptCount val="0"/>
              </c:strCache>
            </c:strRef>
          </c:tx>
          <c:spPr>
            <a:ln w="22320">
              <a:solidFill>
                <a:srgbClr val="255E91"/>
              </a:solidFill>
              <a:round/>
            </a:ln>
          </c:spPr>
          <c:marker>
            <c:symbol val="plus"/>
            <c:size val="6"/>
            <c:spPr>
              <a:solidFill>
                <a:srgbClr val="255E9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(fish)'!$C$20:$Z$20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(fish)'!$C$20:$Z$20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(fish)'!$C$8:$V$8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31-0E4D-ABBD-2E1B7C77C40A}"/>
            </c:ext>
          </c:extLst>
        </c:ser>
        <c:ser>
          <c:idx val="7"/>
          <c:order val="7"/>
          <c:tx>
            <c:strRef>
              <c:f>'Summary (fish)'!$B$9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(fish)'!$C$21:$Z$21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(fish)'!$C$21:$Z$21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(fish)'!$C$9:$V$9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31-0E4D-ABBD-2E1B7C77C40A}"/>
            </c:ext>
          </c:extLst>
        </c:ser>
        <c:ser>
          <c:idx val="8"/>
          <c:order val="8"/>
          <c:tx>
            <c:strRef>
              <c:f>'Summary (fish)'!$B$10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(fish)'!$C$22:$Z$22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(fish)'!$C$22:$Z$22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(fish)'!$C$10:$V$10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31-0E4D-ABBD-2E1B7C77C40A}"/>
            </c:ext>
          </c:extLst>
        </c:ser>
        <c:ser>
          <c:idx val="9"/>
          <c:order val="9"/>
          <c:tx>
            <c:strRef>
              <c:f>'Summary (fish)'!$B$11</c:f>
              <c:strCache>
                <c:ptCount val="0"/>
              </c:strCache>
            </c:strRef>
          </c:tx>
          <c:marker>
            <c:symbol val="diamond"/>
            <c:size val="6"/>
            <c:spPr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'Summary (fish)'!$C$23:$Z$23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(fish)'!$C$23:$Z$23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(fish)'!$C$1:$V$1</c:f>
              <c:numCache>
                <c:formatCode>mmm\-yy</c:formatCode>
                <c:ptCount val="0"/>
              </c:numCache>
            </c:numRef>
          </c:cat>
          <c:val>
            <c:numRef>
              <c:f>'Summary (fish)'!$C$11:$V$11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9-3F4C-97C6-006A16999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98008"/>
        <c:axId val="2124156296"/>
      </c:lineChart>
      <c:catAx>
        <c:axId val="2131498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4156296"/>
        <c:crosses val="autoZero"/>
        <c:auto val="0"/>
        <c:lblAlgn val="ctr"/>
        <c:lblOffset val="100"/>
        <c:noMultiLvlLbl val="1"/>
      </c:catAx>
      <c:valAx>
        <c:axId val="2124156296"/>
        <c:scaling>
          <c:orientation val="minMax"/>
          <c:max val="3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600"/>
                  <a:t>隻</a:t>
                </a:r>
                <a:r>
                  <a:rPr lang="en-US" altLang="zh-TW" sz="1600"/>
                  <a:t>/100m</a:t>
                </a:r>
                <a:r>
                  <a:rPr lang="en-US" altLang="zh-TW" sz="1600" baseline="30000"/>
                  <a:t>2</a:t>
                </a:r>
                <a:endParaRPr lang="zh-TW" altLang="en-US" sz="1600" baseline="30000"/>
              </a:p>
            </c:rich>
          </c:tx>
          <c:layout>
            <c:manualLayout>
              <c:xMode val="edge"/>
              <c:yMode val="edge"/>
              <c:x val="1.2183535651793524E-2"/>
              <c:y val="0.4114140419947505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31498008"/>
        <c:crosses val="autoZero"/>
        <c:crossBetween val="midCat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0969515529308836"/>
          <c:y val="0.20340865594925636"/>
          <c:w val="0.82984908136482938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微軟正黑體" panose="020B0604030504040204" pitchFamily="34" charset="-120"/>
                <a:cs typeface="+mn-cs"/>
              </a:defRPr>
            </a:pPr>
            <a:r>
              <a:rPr lang="zh-TW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墾丁合界</a:t>
            </a:r>
            <a:r>
              <a:rPr lang="en-US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10m</a:t>
            </a:r>
            <a:r>
              <a:rPr lang="zh-TW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歷年 指標性魚類族群密度</a:t>
            </a:r>
            <a:r>
              <a:rPr lang="zh-TW" altLang="en-US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（除蝶魚）</a:t>
            </a:r>
            <a:endParaRPr lang="zh-TW" altLang="zh-TW" sz="2000" b="1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28626095379749955"/>
          <c:y val="3.25039077370278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177428693781212E-2"/>
          <c:y val="0.18238610881808742"/>
          <c:w val="0.80597534912451507"/>
          <c:h val="0.69479591730592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(fish)'!$C$68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(fish)'!$C$82:$C$90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(fish)'!$C$70:$C$78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0E64-EE40-B9BF-A925AEFDE4E9}"/>
            </c:ext>
          </c:extLst>
        </c:ser>
        <c:ser>
          <c:idx val="1"/>
          <c:order val="1"/>
          <c:tx>
            <c:strRef>
              <c:f>'Summary (fish)'!$D$68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(fish)'!$D$82:$D$90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(fish)'!$D$70:$D$78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6F17-5E49-AACF-B142DF1CA526}"/>
            </c:ext>
          </c:extLst>
        </c:ser>
        <c:ser>
          <c:idx val="2"/>
          <c:order val="2"/>
          <c:tx>
            <c:strRef>
              <c:f>'Summary (fish)'!$E$68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(fish)'!$E$82:$E$90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(fish)'!$E$70:$E$78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1-6F17-5E49-AACF-B142DF1CA526}"/>
            </c:ext>
          </c:extLst>
        </c:ser>
        <c:ser>
          <c:idx val="3"/>
          <c:order val="3"/>
          <c:tx>
            <c:strRef>
              <c:f>'Summary (fish)'!$F$68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(fish)'!$F$82:$F$90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(fish)'!$F$70:$F$78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2-6F17-5E49-AACF-B142DF1CA526}"/>
            </c:ext>
          </c:extLst>
        </c:ser>
        <c:ser>
          <c:idx val="4"/>
          <c:order val="4"/>
          <c:tx>
            <c:strRef>
              <c:f>'Summary (fish)'!$G$68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(fish)'!$G$82:$G$90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(fish)'!$G$70:$G$78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3-6F17-5E49-AACF-B142DF1CA526}"/>
            </c:ext>
          </c:extLst>
        </c:ser>
        <c:ser>
          <c:idx val="5"/>
          <c:order val="5"/>
          <c:tx>
            <c:strRef>
              <c:f>'Summary (fish)'!$H$68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(fish)'!$H$82:$H$90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(fish)'!$H$70:$H$78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4-6F17-5E49-AACF-B142DF1CA526}"/>
            </c:ext>
          </c:extLst>
        </c:ser>
        <c:ser>
          <c:idx val="6"/>
          <c:order val="6"/>
          <c:tx>
            <c:strRef>
              <c:f>'Summary (fish)'!$I$68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(fish)'!$I$82:$I$90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(fish)'!$I$70:$I$78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5-6F17-5E49-AACF-B142DF1CA526}"/>
            </c:ext>
          </c:extLst>
        </c:ser>
        <c:ser>
          <c:idx val="7"/>
          <c:order val="7"/>
          <c:tx>
            <c:strRef>
              <c:f>'Summary (fish)'!$J$68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(fish)'!$J$82:$J$90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(fish)'!$J$70:$J$78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6-6F17-5E49-AACF-B142DF1CA526}"/>
            </c:ext>
          </c:extLst>
        </c:ser>
        <c:ser>
          <c:idx val="8"/>
          <c:order val="8"/>
          <c:tx>
            <c:strRef>
              <c:f>'Summary (fish)'!$K$68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(fish)'!$K$82:$K$90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(fish)'!$K$70:$K$78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7-6F17-5E49-AACF-B142DF1CA526}"/>
            </c:ext>
          </c:extLst>
        </c:ser>
        <c:ser>
          <c:idx val="9"/>
          <c:order val="9"/>
          <c:tx>
            <c:strRef>
              <c:f>'Summary (fish)'!$L$68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(fish)'!$L$82:$L$90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(fish)'!$L$70:$L$78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8-6F17-5E49-AACF-B142DF1CA526}"/>
            </c:ext>
          </c:extLst>
        </c:ser>
        <c:ser>
          <c:idx val="10"/>
          <c:order val="10"/>
          <c:tx>
            <c:strRef>
              <c:f>'Summary (fish)'!$M$68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(fish)'!$M$82:$M$90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(fish)'!$M$70:$M$78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9-6F17-5E49-AACF-B142DF1CA526}"/>
            </c:ext>
          </c:extLst>
        </c:ser>
        <c:ser>
          <c:idx val="11"/>
          <c:order val="11"/>
          <c:tx>
            <c:strRef>
              <c:f>'Summary (fish)'!$N$68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(fish)'!$N$82:$N$90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(fish)'!$N$70:$N$78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6F17-5E49-AACF-B142DF1CA526}"/>
            </c:ext>
          </c:extLst>
        </c:ser>
        <c:ser>
          <c:idx val="12"/>
          <c:order val="12"/>
          <c:tx>
            <c:strRef>
              <c:f>'Summary (fish)'!$O$68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(fish)'!$O$82:$O$90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(fish)'!$O$70:$O$78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B-6F17-5E49-AACF-B142DF1CA526}"/>
            </c:ext>
          </c:extLst>
        </c:ser>
        <c:ser>
          <c:idx val="13"/>
          <c:order val="13"/>
          <c:tx>
            <c:strRef>
              <c:f>'Summary (fish)'!$P$68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(fish)'!$P$82:$P$90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(fish)'!$P$70:$P$78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C-6F17-5E49-AACF-B142DF1CA526}"/>
            </c:ext>
          </c:extLst>
        </c:ser>
        <c:ser>
          <c:idx val="14"/>
          <c:order val="14"/>
          <c:tx>
            <c:strRef>
              <c:f>'Summary (fish)'!$Q$68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(fish)'!$Q$82:$Q$90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(fish)'!$Q$70:$Q$78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D-6F17-5E49-AACF-B142DF1CA526}"/>
            </c:ext>
          </c:extLst>
        </c:ser>
        <c:ser>
          <c:idx val="15"/>
          <c:order val="15"/>
          <c:tx>
            <c:strRef>
              <c:f>'Summary (fish)'!$R$68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(fish)'!$R$82:$R$90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(fish)'!$R$70:$R$78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E-6F17-5E49-AACF-B142DF1CA526}"/>
            </c:ext>
          </c:extLst>
        </c:ser>
        <c:ser>
          <c:idx val="16"/>
          <c:order val="16"/>
          <c:tx>
            <c:strRef>
              <c:f>'Summary (fish)'!$S$68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(fish)'!$S$82:$S$90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(fish)'!$S$70:$S$78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F-6F17-5E49-AACF-B142DF1CA526}"/>
            </c:ext>
          </c:extLst>
        </c:ser>
        <c:ser>
          <c:idx val="17"/>
          <c:order val="17"/>
          <c:tx>
            <c:strRef>
              <c:f>'Summary (fish)'!$T$68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(fish)'!$T$82:$T$90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(fish)'!$T$70:$T$78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0-6F17-5E49-AACF-B142DF1CA526}"/>
            </c:ext>
          </c:extLst>
        </c:ser>
        <c:ser>
          <c:idx val="18"/>
          <c:order val="18"/>
          <c:tx>
            <c:strRef>
              <c:f>'Summary (fish)'!$U$68</c:f>
              <c:strCache>
                <c:ptCount val="0"/>
              </c:strCache>
            </c:strRef>
          </c:tx>
          <c:invertIfNegative val="0"/>
          <c:cat>
            <c:strRef>
              <c:f>'Summary (fish)'!$B$70:$B$78</c:f>
              <c:strCache>
                <c:ptCount val="0"/>
              </c:strCache>
            </c:strRef>
          </c:cat>
          <c:val>
            <c:numRef>
              <c:f>'Summary (fish)'!$U$70:$U$78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43CC-5C4B-9064-6F451194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343560"/>
        <c:axId val="2126346536"/>
      </c:barChart>
      <c:catAx>
        <c:axId val="21263435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zh-TW"/>
          </a:p>
        </c:txPr>
        <c:crossAx val="2126346536"/>
        <c:crosses val="autoZero"/>
        <c:auto val="0"/>
        <c:lblAlgn val="ctr"/>
        <c:lblOffset val="100"/>
        <c:noMultiLvlLbl val="1"/>
      </c:catAx>
      <c:valAx>
        <c:axId val="21263465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zh-TW" altLang="en-US"/>
                  <a:t>隻</a:t>
                </a:r>
                <a:r>
                  <a:rPr lang="en-US" altLang="zh-TW"/>
                  <a:t>/100m</a:t>
                </a:r>
                <a:r>
                  <a:rPr lang="en-US" altLang="zh-TW" baseline="30000"/>
                  <a:t>2</a:t>
                </a:r>
                <a:endParaRPr lang="zh-TW" altLang="en-US" baseline="30000"/>
              </a:p>
            </c:rich>
          </c:tx>
          <c:layout>
            <c:manualLayout>
              <c:xMode val="edge"/>
              <c:yMode val="edge"/>
              <c:x val="1.16349727459845E-2"/>
              <c:y val="0.4056246540610989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 b="1" i="0"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6343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539860867637244"/>
          <c:y val="0.16199151308684248"/>
          <c:w val="6.1563916000276012E-2"/>
          <c:h val="0.79463604230128171"/>
        </c:manualLayout>
      </c:layout>
      <c:overlay val="0"/>
      <c:txPr>
        <a:bodyPr/>
        <a:lstStyle/>
        <a:p>
          <a:pPr>
            <a:defRPr sz="1400" b="1"/>
          </a:pPr>
          <a:endParaRPr lang="zh-TW"/>
        </a:p>
      </c:txPr>
    </c:legend>
    <c:plotVisOnly val="1"/>
    <c:dispBlanksAs val="gap"/>
    <c:showDLblsOverMax val="1"/>
  </c:chart>
  <c:txPr>
    <a:bodyPr/>
    <a:lstStyle/>
    <a:p>
      <a:pPr>
        <a:defRPr sz="1200">
          <a:latin typeface="+mn-lt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zh-TW" sz="2400" b="1" i="0" baseline="0">
                <a:effectLst/>
              </a:rPr>
              <a:t>墾丁合界</a:t>
            </a:r>
            <a:r>
              <a:rPr lang="en-US" altLang="zh-TW" sz="2400" b="1" i="0" baseline="0">
                <a:effectLst/>
              </a:rPr>
              <a:t> 10m </a:t>
            </a:r>
            <a:r>
              <a:rPr lang="zh-TW" altLang="en-US" sz="2400" b="1" i="0" baseline="0">
                <a:effectLst/>
              </a:rPr>
              <a:t>歷年</a:t>
            </a:r>
            <a:r>
              <a:rPr lang="zh-TW" altLang="zh-TW" sz="2400" b="1" i="0" baseline="0">
                <a:effectLst/>
              </a:rPr>
              <a:t>指標性魚類</a:t>
            </a:r>
            <a:r>
              <a:rPr lang="zh-TW" altLang="en-US" sz="2400" b="1" i="0" baseline="0">
                <a:effectLst/>
              </a:rPr>
              <a:t>尺寸分布</a:t>
            </a:r>
            <a:endParaRPr lang="en-US" altLang="zh-TW" sz="2400" b="1" i="0" baseline="0">
              <a:effectLst/>
            </a:endParaRPr>
          </a:p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zh-TW" sz="2400">
              <a:effectLst/>
            </a:endParaRPr>
          </a:p>
        </c:rich>
      </c:tx>
      <c:layout>
        <c:manualLayout>
          <c:xMode val="edge"/>
          <c:yMode val="edge"/>
          <c:x val="0.30459850721784776"/>
          <c:y val="3.8194444444444448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3848760918962"/>
          <c:y val="0.19995731180596765"/>
          <c:w val="0.84902620323580924"/>
          <c:h val="0.67450517454666148"/>
        </c:manualLayout>
      </c:layout>
      <c:lineChart>
        <c:grouping val="standard"/>
        <c:varyColors val="0"/>
        <c:ser>
          <c:idx val="0"/>
          <c:order val="0"/>
          <c:tx>
            <c:strRef>
              <c:f>'Summary (fish size)'!$B$69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size)'!$C$81:$Y$81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size)'!$C$81:$Y$81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size)'!$C$69:$G$69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8-C348-A0B6-566136AFC48B}"/>
            </c:ext>
          </c:extLst>
        </c:ser>
        <c:ser>
          <c:idx val="1"/>
          <c:order val="1"/>
          <c:tx>
            <c:strRef>
              <c:f>'Summary (fish size)'!$B$70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size)'!$C$82:$Y$82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size)'!$C$82:$Y$82</c:f>
                <c:numCache>
                  <c:formatCode>General</c:formatCode>
                  <c:ptCount val="0"/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prstDash val="solid"/>
                <a:miter lim="800000"/>
                <a:tailEnd type="none" w="med" len="med"/>
              </a:ln>
              <a:effectLst/>
            </c:spPr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size)'!$C$70:$G$70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8-C348-A0B6-566136AFC48B}"/>
            </c:ext>
          </c:extLst>
        </c:ser>
        <c:ser>
          <c:idx val="2"/>
          <c:order val="2"/>
          <c:tx>
            <c:strRef>
              <c:f>'Summary (fish size)'!$B$71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size)'!$C$83:$Y$83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size)'!$C$83:$Y$83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size)'!$C$71:$G$71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8-C348-A0B6-566136AFC48B}"/>
            </c:ext>
          </c:extLst>
        </c:ser>
        <c:ser>
          <c:idx val="3"/>
          <c:order val="3"/>
          <c:tx>
            <c:strRef>
              <c:f>'Summary (fish size)'!$B$72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size)'!$C$84:$Y$84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size)'!$C$84:$Y$84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size)'!$C$72:$G$72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8-C348-A0B6-566136AFC48B}"/>
            </c:ext>
          </c:extLst>
        </c:ser>
        <c:ser>
          <c:idx val="4"/>
          <c:order val="4"/>
          <c:tx>
            <c:strRef>
              <c:f>'Summary (fish size)'!$B$73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size)'!$C$85:$Y$85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size)'!$C$85:$Y$85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size)'!$C$73:$G$73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C8-C348-A0B6-566136AFC48B}"/>
            </c:ext>
          </c:extLst>
        </c:ser>
        <c:ser>
          <c:idx val="5"/>
          <c:order val="5"/>
          <c:tx>
            <c:strRef>
              <c:f>'Summary (fish size)'!$B$74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size)'!$C$86:$Y$86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size)'!$C$86:$Y$86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size)'!$C$74:$G$74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C8-C348-A0B6-566136AFC48B}"/>
            </c:ext>
          </c:extLst>
        </c:ser>
        <c:ser>
          <c:idx val="6"/>
          <c:order val="6"/>
          <c:tx>
            <c:strRef>
              <c:f>'Summary (fish size)'!$B$75</c:f>
              <c:strCache>
                <c:ptCount val="0"/>
              </c:strCache>
            </c:strRef>
          </c:tx>
          <c:spPr>
            <a:ln w="22320">
              <a:solidFill>
                <a:srgbClr val="255E91"/>
              </a:solidFill>
              <a:round/>
            </a:ln>
          </c:spPr>
          <c:marker>
            <c:symbol val="plus"/>
            <c:size val="6"/>
            <c:spPr>
              <a:solidFill>
                <a:srgbClr val="255E9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size)'!$C$87:$Y$87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size)'!$C$87:$Y$87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size)'!$C$75:$G$75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C8-C348-A0B6-566136AFC48B}"/>
            </c:ext>
          </c:extLst>
        </c:ser>
        <c:ser>
          <c:idx val="7"/>
          <c:order val="7"/>
          <c:tx>
            <c:strRef>
              <c:f>'Summary (fish size)'!$B$76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size)'!$C$88:$Y$88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size)'!$C$88:$Y$88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size)'!$C$76:$G$76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C8-C348-A0B6-566136AFC48B}"/>
            </c:ext>
          </c:extLst>
        </c:ser>
        <c:ser>
          <c:idx val="8"/>
          <c:order val="8"/>
          <c:tx>
            <c:strRef>
              <c:f>'Summary (fish size)'!$B$77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size)'!$C$89:$Y$89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size)'!$C$89:$Y$89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size)'!$C$77:$G$77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9C8-C348-A0B6-566136AFC48B}"/>
            </c:ext>
          </c:extLst>
        </c:ser>
        <c:ser>
          <c:idx val="9"/>
          <c:order val="9"/>
          <c:tx>
            <c:strRef>
              <c:f>'Summary (fish size)'!$B$78</c:f>
              <c:strCache>
                <c:ptCount val="0"/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'Summary (fish size)'!$C$90:$Y$90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size)'!$C$90:$Y$90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size)'!$C$68:$G$68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size)'!$C$78:$G$78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C8-C348-A0B6-566136AF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844008"/>
        <c:axId val="2121831160"/>
      </c:lineChart>
      <c:catAx>
        <c:axId val="2121844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31160"/>
        <c:crosses val="autoZero"/>
        <c:auto val="0"/>
        <c:lblAlgn val="ctr"/>
        <c:lblOffset val="100"/>
        <c:noMultiLvlLbl val="1"/>
      </c:catAx>
      <c:valAx>
        <c:axId val="2121831160"/>
        <c:scaling>
          <c:orientation val="minMax"/>
          <c:max val="3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600" b="1" i="0" u="none" strike="noStrike" kern="1200" baseline="0">
                    <a:solidFill>
                      <a:sysClr val="windowText" lastClr="000000"/>
                    </a:solidFill>
                  </a:rPr>
                  <a:t>隻</a:t>
                </a:r>
                <a:r>
                  <a:rPr lang="en-US" altLang="zh-TW" sz="1600" b="1" i="0" u="none" strike="noStrike" kern="1200" baseline="0">
                    <a:solidFill>
                      <a:sysClr val="windowText" lastClr="000000"/>
                    </a:solidFill>
                  </a:rPr>
                  <a:t>/100m</a:t>
                </a:r>
                <a:r>
                  <a:rPr lang="en-US" altLang="zh-TW" sz="1600" b="1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endParaRPr lang="zh-TW" altLang="en-US" sz="1600" b="1" i="0" u="none" strike="noStrike" kern="1200" baseline="30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8365594925634297E-2"/>
              <c:y val="0.433007573272091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44008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117802657480315"/>
          <c:y val="0.20092683727034122"/>
          <c:w val="0.82984908136482938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zh-TW" sz="2400" b="1" i="0" baseline="0">
                <a:effectLst/>
              </a:rPr>
              <a:t>墾丁合界</a:t>
            </a:r>
            <a:r>
              <a:rPr lang="zh-TW" altLang="en-US" sz="2400" b="1" i="0" baseline="0">
                <a:effectLst/>
              </a:rPr>
              <a:t> </a:t>
            </a:r>
            <a:r>
              <a:rPr lang="en-US" altLang="zh-TW" sz="2400" b="1" i="0" baseline="0">
                <a:effectLst/>
              </a:rPr>
              <a:t>5m</a:t>
            </a:r>
            <a:r>
              <a:rPr lang="zh-TW" altLang="en-US" sz="2400" b="1" i="0" baseline="0">
                <a:effectLst/>
              </a:rPr>
              <a:t> 歷年</a:t>
            </a:r>
            <a:r>
              <a:rPr lang="zh-TW" altLang="zh-TW" sz="2400" b="1" i="0" baseline="0">
                <a:effectLst/>
              </a:rPr>
              <a:t>指標性魚類</a:t>
            </a:r>
            <a:r>
              <a:rPr lang="zh-TW" altLang="en-US" sz="2400" b="1" i="0" baseline="0">
                <a:effectLst/>
              </a:rPr>
              <a:t>尺寸分布</a:t>
            </a:r>
            <a:endParaRPr lang="en-US" altLang="zh-TW" sz="2400" b="1" i="0" baseline="0">
              <a:effectLst/>
            </a:endParaRPr>
          </a:p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zh-TW" sz="2400">
              <a:effectLst/>
            </a:endParaRPr>
          </a:p>
        </c:rich>
      </c:tx>
      <c:layout>
        <c:manualLayout>
          <c:xMode val="edge"/>
          <c:yMode val="edge"/>
          <c:x val="0.31042965332458444"/>
          <c:y val="2.7777777777777776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28166010498687E-2"/>
          <c:y val="0.17083305993000875"/>
          <c:w val="0.91332123523622044"/>
          <c:h val="0.6871343230533683"/>
        </c:manualLayout>
      </c:layout>
      <c:lineChart>
        <c:grouping val="standard"/>
        <c:varyColors val="0"/>
        <c:ser>
          <c:idx val="0"/>
          <c:order val="0"/>
          <c:tx>
            <c:strRef>
              <c:f>'Summary (fish size)'!$B$2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size)'!$C$14:$Z$14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size)'!$C$14:$Z$14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size)'!$C$2:$H$2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1-0A4E-B89D-1BB74AB74E55}"/>
            </c:ext>
          </c:extLst>
        </c:ser>
        <c:ser>
          <c:idx val="1"/>
          <c:order val="1"/>
          <c:tx>
            <c:strRef>
              <c:f>'Summary (fish size)'!$B$3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size)'!$C$15:$Z$15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size)'!$C$15:$Z$15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size)'!$C$3:$H$3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1-0A4E-B89D-1BB74AB74E55}"/>
            </c:ext>
          </c:extLst>
        </c:ser>
        <c:ser>
          <c:idx val="2"/>
          <c:order val="2"/>
          <c:tx>
            <c:strRef>
              <c:f>'Summary (fish size)'!$B$4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size)'!$C$16:$Z$16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size)'!$C$16:$Z$16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size)'!$C$4:$H$4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1-0A4E-B89D-1BB74AB74E55}"/>
            </c:ext>
          </c:extLst>
        </c:ser>
        <c:ser>
          <c:idx val="3"/>
          <c:order val="3"/>
          <c:tx>
            <c:strRef>
              <c:f>'Summary (fish size)'!$B$5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size)'!$C$17:$Z$17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size)'!$C$17:$Z$17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size)'!$C$5:$H$5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1-0A4E-B89D-1BB74AB74E55}"/>
            </c:ext>
          </c:extLst>
        </c:ser>
        <c:ser>
          <c:idx val="4"/>
          <c:order val="4"/>
          <c:tx>
            <c:strRef>
              <c:f>'Summary (fish size)'!$B$6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size)'!$C$18:$Z$18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size)'!$C$18:$Z$18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size)'!$C$6:$H$6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91-0A4E-B89D-1BB74AB74E55}"/>
            </c:ext>
          </c:extLst>
        </c:ser>
        <c:ser>
          <c:idx val="5"/>
          <c:order val="5"/>
          <c:tx>
            <c:strRef>
              <c:f>'Summary (fish size)'!$B$7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size)'!$C$19:$Z$19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size)'!$C$19:$Z$19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size)'!$C$7:$H$7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91-0A4E-B89D-1BB74AB74E55}"/>
            </c:ext>
          </c:extLst>
        </c:ser>
        <c:ser>
          <c:idx val="6"/>
          <c:order val="6"/>
          <c:tx>
            <c:strRef>
              <c:f>'Summary (fish size)'!$B$8</c:f>
              <c:strCache>
                <c:ptCount val="0"/>
              </c:strCache>
            </c:strRef>
          </c:tx>
          <c:spPr>
            <a:ln w="22320">
              <a:solidFill>
                <a:srgbClr val="255E91"/>
              </a:solidFill>
              <a:round/>
            </a:ln>
          </c:spPr>
          <c:marker>
            <c:symbol val="plus"/>
            <c:size val="6"/>
            <c:spPr>
              <a:solidFill>
                <a:srgbClr val="255E9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size)'!$C$20:$Z$20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size)'!$C$20:$Z$20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size)'!$C$8:$H$8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91-0A4E-B89D-1BB74AB74E55}"/>
            </c:ext>
          </c:extLst>
        </c:ser>
        <c:ser>
          <c:idx val="7"/>
          <c:order val="7"/>
          <c:tx>
            <c:strRef>
              <c:f>'Summary (fish size)'!$B$9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size)'!$C$21:$Z$21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size)'!$C$21:$Z$21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size)'!$C$9:$H$9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91-0A4E-B89D-1BB74AB74E55}"/>
            </c:ext>
          </c:extLst>
        </c:ser>
        <c:ser>
          <c:idx val="8"/>
          <c:order val="8"/>
          <c:tx>
            <c:strRef>
              <c:f>'Summary (fish size)'!$B$10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(fish size)'!$C$22:$Z$22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size)'!$C$22:$Z$22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size)'!$C$10:$H$10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91-0A4E-B89D-1BB74AB74E55}"/>
            </c:ext>
          </c:extLst>
        </c:ser>
        <c:ser>
          <c:idx val="9"/>
          <c:order val="9"/>
          <c:tx>
            <c:strRef>
              <c:f>'Summary (fish size)'!$B$11</c:f>
              <c:strCache>
                <c:ptCount val="0"/>
              </c:strCache>
            </c:strRef>
          </c:tx>
          <c:marker>
            <c:symbol val="diamond"/>
            <c:size val="6"/>
            <c:spPr>
              <a:ln>
                <a:solidFill>
                  <a:schemeClr val="accent4">
                    <a:lumMod val="75000"/>
                  </a:schemeClr>
                </a:solidFill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'Summary (fish size)'!$C$23:$Z$23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(fish size)'!$C$23:$Z$23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(fish size)'!$C$1:$H$1</c:f>
              <c:numCache>
                <c:formatCode>mmm\-yy</c:formatCode>
                <c:ptCount val="0"/>
              </c:numCache>
            </c:numRef>
          </c:cat>
          <c:val>
            <c:numRef>
              <c:f>'Summary (fish size)'!$C$11:$H$11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591-0A4E-B89D-1BB74AB74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98008"/>
        <c:axId val="2124156296"/>
      </c:lineChart>
      <c:catAx>
        <c:axId val="2131498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mmm\-yy" sourceLinked="1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4156296"/>
        <c:crosses val="autoZero"/>
        <c:auto val="0"/>
        <c:lblAlgn val="ctr"/>
        <c:lblOffset val="100"/>
        <c:noMultiLvlLbl val="1"/>
      </c:catAx>
      <c:valAx>
        <c:axId val="2124156296"/>
        <c:scaling>
          <c:orientation val="minMax"/>
          <c:max val="3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600"/>
                  <a:t>隻</a:t>
                </a:r>
                <a:r>
                  <a:rPr lang="en-US" altLang="zh-TW" sz="1600"/>
                  <a:t>/100m</a:t>
                </a:r>
                <a:r>
                  <a:rPr lang="en-US" altLang="zh-TW" sz="1600" baseline="30000"/>
                  <a:t>2</a:t>
                </a:r>
                <a:endParaRPr lang="zh-TW" altLang="en-US" sz="1600" baseline="30000"/>
              </a:p>
            </c:rich>
          </c:tx>
          <c:layout>
            <c:manualLayout>
              <c:xMode val="edge"/>
              <c:yMode val="edge"/>
              <c:x val="1.2183535651793524E-2"/>
              <c:y val="0.4114140419947505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31498008"/>
        <c:crosses val="autoZero"/>
        <c:crossBetween val="midCat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0969515529308836"/>
          <c:y val="0.20340865594925636"/>
          <c:w val="0.82984908136482938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微軟正黑體" panose="020B0604030504040204" pitchFamily="34" charset="-120"/>
                <a:cs typeface="+mn-cs"/>
              </a:defRPr>
            </a:pPr>
            <a:r>
              <a:rPr lang="zh-TW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墾丁合界</a:t>
            </a:r>
            <a:r>
              <a:rPr lang="en-US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10m</a:t>
            </a:r>
            <a:r>
              <a:rPr lang="zh-TW" altLang="zh-TW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歷年 指標性魚類族群密度</a:t>
            </a:r>
            <a:r>
              <a:rPr lang="zh-TW" altLang="en-US" sz="2000" b="1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（除蝶魚）</a:t>
            </a:r>
            <a:endParaRPr lang="zh-TW" altLang="zh-TW" sz="2000" b="1" i="0" u="none" strike="noStrike" kern="1200" baseline="0">
              <a:solidFill>
                <a:sysClr val="windowText" lastClr="000000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28626095379749955"/>
          <c:y val="3.25039077370278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177428693781212E-2"/>
          <c:y val="0.18238610881808742"/>
          <c:w val="0.80597534912451507"/>
          <c:h val="0.694795917305926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 (fish size)'!$C$68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size)'!$C$82:$C$90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size)'!$C$70:$C$78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0-6A1F-114E-86B1-F1F2C269E0BE}"/>
            </c:ext>
          </c:extLst>
        </c:ser>
        <c:ser>
          <c:idx val="1"/>
          <c:order val="1"/>
          <c:tx>
            <c:strRef>
              <c:f>'Summary (fish size)'!$D$68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size)'!$D$82:$D$90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size)'!$D$70:$D$78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1-6A1F-114E-86B1-F1F2C269E0BE}"/>
            </c:ext>
          </c:extLst>
        </c:ser>
        <c:ser>
          <c:idx val="2"/>
          <c:order val="2"/>
          <c:tx>
            <c:strRef>
              <c:f>'Summary (fish size)'!$E$68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size)'!$E$82:$E$90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size)'!$E$70:$E$78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2-6A1F-114E-86B1-F1F2C269E0BE}"/>
            </c:ext>
          </c:extLst>
        </c:ser>
        <c:ser>
          <c:idx val="3"/>
          <c:order val="3"/>
          <c:tx>
            <c:strRef>
              <c:f>'Summary (fish size)'!$F$68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size)'!$F$82:$F$90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size)'!$F$70:$F$78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3-6A1F-114E-86B1-F1F2C269E0BE}"/>
            </c:ext>
          </c:extLst>
        </c:ser>
        <c:ser>
          <c:idx val="4"/>
          <c:order val="4"/>
          <c:tx>
            <c:strRef>
              <c:f>'Summary (fish size)'!$G$68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size)'!$G$82:$G$90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size)'!$G$70:$G$78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4-6A1F-114E-86B1-F1F2C269E0BE}"/>
            </c:ext>
          </c:extLst>
        </c:ser>
        <c:ser>
          <c:idx val="5"/>
          <c:order val="5"/>
          <c:tx>
            <c:strRef>
              <c:f>'Summary (fish size)'!$H$68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size)'!$H$82:$H$90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size)'!$H$70:$H$78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5-6A1F-114E-86B1-F1F2C269E0BE}"/>
            </c:ext>
          </c:extLst>
        </c:ser>
        <c:ser>
          <c:idx val="6"/>
          <c:order val="6"/>
          <c:tx>
            <c:strRef>
              <c:f>'Summary (fish size)'!$I$68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size)'!$I$82:$I$90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size)'!$I$70:$I$78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6-6A1F-114E-86B1-F1F2C269E0BE}"/>
            </c:ext>
          </c:extLst>
        </c:ser>
        <c:ser>
          <c:idx val="7"/>
          <c:order val="7"/>
          <c:tx>
            <c:strRef>
              <c:f>'Summary (fish size)'!$J$68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size)'!$J$82:$J$90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size)'!$J$70:$J$78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7-6A1F-114E-86B1-F1F2C269E0BE}"/>
            </c:ext>
          </c:extLst>
        </c:ser>
        <c:ser>
          <c:idx val="8"/>
          <c:order val="8"/>
          <c:tx>
            <c:strRef>
              <c:f>'Summary (fish size)'!$K$68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size)'!$K$82:$K$90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size)'!$K$70:$K$78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8-6A1F-114E-86B1-F1F2C269E0BE}"/>
            </c:ext>
          </c:extLst>
        </c:ser>
        <c:ser>
          <c:idx val="9"/>
          <c:order val="9"/>
          <c:tx>
            <c:strRef>
              <c:f>'Summary (fish size)'!$L$68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size)'!$L$82:$L$90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size)'!$L$70:$L$78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9-6A1F-114E-86B1-F1F2C269E0BE}"/>
            </c:ext>
          </c:extLst>
        </c:ser>
        <c:ser>
          <c:idx val="10"/>
          <c:order val="10"/>
          <c:tx>
            <c:strRef>
              <c:f>'Summary (fish size)'!$M$68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size)'!$M$82:$M$90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size)'!$M$70:$M$78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A-6A1F-114E-86B1-F1F2C269E0BE}"/>
            </c:ext>
          </c:extLst>
        </c:ser>
        <c:ser>
          <c:idx val="11"/>
          <c:order val="11"/>
          <c:tx>
            <c:strRef>
              <c:f>'Summary (fish size)'!$N$68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size)'!$N$82:$N$90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size)'!$N$70:$N$78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B-6A1F-114E-86B1-F1F2C269E0BE}"/>
            </c:ext>
          </c:extLst>
        </c:ser>
        <c:ser>
          <c:idx val="12"/>
          <c:order val="12"/>
          <c:tx>
            <c:strRef>
              <c:f>'Summary (fish size)'!$O$68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size)'!$O$82:$O$90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size)'!$O$70:$O$78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C-6A1F-114E-86B1-F1F2C269E0BE}"/>
            </c:ext>
          </c:extLst>
        </c:ser>
        <c:ser>
          <c:idx val="13"/>
          <c:order val="13"/>
          <c:tx>
            <c:strRef>
              <c:f>'Summary (fish size)'!$P$68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size)'!$P$82:$P$90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size)'!$P$70:$P$78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D-6A1F-114E-86B1-F1F2C269E0BE}"/>
            </c:ext>
          </c:extLst>
        </c:ser>
        <c:ser>
          <c:idx val="14"/>
          <c:order val="14"/>
          <c:tx>
            <c:strRef>
              <c:f>'Summary (fish size)'!$Q$68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size)'!$Q$82:$Q$90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size)'!$Q$70:$Q$78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E-6A1F-114E-86B1-F1F2C269E0BE}"/>
            </c:ext>
          </c:extLst>
        </c:ser>
        <c:ser>
          <c:idx val="15"/>
          <c:order val="15"/>
          <c:tx>
            <c:strRef>
              <c:f>'Summary (fish size)'!$R$68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size)'!$R$82:$R$90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size)'!$R$70:$R$78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0F-6A1F-114E-86B1-F1F2C269E0BE}"/>
            </c:ext>
          </c:extLst>
        </c:ser>
        <c:ser>
          <c:idx val="16"/>
          <c:order val="16"/>
          <c:tx>
            <c:strRef>
              <c:f>'Summary (fish size)'!$S$68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size)'!$S$82:$S$90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size)'!$S$70:$S$78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0-6A1F-114E-86B1-F1F2C269E0BE}"/>
            </c:ext>
          </c:extLst>
        </c:ser>
        <c:ser>
          <c:idx val="17"/>
          <c:order val="17"/>
          <c:tx>
            <c:strRef>
              <c:f>'Summary (fish size)'!$T$68</c:f>
              <c:strCache>
                <c:ptCount val="0"/>
              </c:strCache>
            </c:strRef>
          </c:tx>
          <c:invertIfNegative val="0"/>
          <c:errBars>
            <c:errBarType val="plus"/>
            <c:errValType val="cust"/>
            <c:noEndCap val="0"/>
            <c:plus>
              <c:numRef>
                <c:f>'Summary (fish size)'!$T$82:$T$90</c:f>
                <c:numCache>
                  <c:formatCode>General</c:formatCode>
                  <c:ptCount val="0"/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</c:errBars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size)'!$T$70:$T$78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1-6A1F-114E-86B1-F1F2C269E0BE}"/>
            </c:ext>
          </c:extLst>
        </c:ser>
        <c:ser>
          <c:idx val="18"/>
          <c:order val="18"/>
          <c:tx>
            <c:strRef>
              <c:f>'Summary (fish size)'!$U$68</c:f>
              <c:strCache>
                <c:ptCount val="0"/>
              </c:strCache>
            </c:strRef>
          </c:tx>
          <c:invertIfNegative val="0"/>
          <c:cat>
            <c:strRef>
              <c:f>'Summary (fish size)'!$B$70:$B$78</c:f>
              <c:strCache>
                <c:ptCount val="0"/>
              </c:strCache>
            </c:strRef>
          </c:cat>
          <c:val>
            <c:numRef>
              <c:f>'Summary (fish size)'!$U$70:$U$78</c:f>
              <c:numCache>
                <c:formatCode>General</c:formatCode>
                <c:ptCount val="0"/>
              </c:numCache>
            </c:numRef>
          </c:val>
          <c:extLst>
            <c:ext xmlns:c16="http://schemas.microsoft.com/office/drawing/2014/chart" uri="{C3380CC4-5D6E-409C-BE32-E72D297353CC}">
              <c16:uniqueId val="{00000012-6A1F-114E-86B1-F1F2C269E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343560"/>
        <c:axId val="2126346536"/>
      </c:barChart>
      <c:catAx>
        <c:axId val="21263435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zh-TW"/>
          </a:p>
        </c:txPr>
        <c:crossAx val="2126346536"/>
        <c:crosses val="autoZero"/>
        <c:auto val="0"/>
        <c:lblAlgn val="ctr"/>
        <c:lblOffset val="100"/>
        <c:noMultiLvlLbl val="1"/>
      </c:catAx>
      <c:valAx>
        <c:axId val="21263465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zh-TW" altLang="en-US"/>
                  <a:t>隻</a:t>
                </a:r>
                <a:r>
                  <a:rPr lang="en-US" altLang="zh-TW"/>
                  <a:t>/100m</a:t>
                </a:r>
                <a:r>
                  <a:rPr lang="en-US" altLang="zh-TW" baseline="30000"/>
                  <a:t>2</a:t>
                </a:r>
                <a:endParaRPr lang="zh-TW" altLang="en-US" baseline="30000"/>
              </a:p>
            </c:rich>
          </c:tx>
          <c:layout>
            <c:manualLayout>
              <c:xMode val="edge"/>
              <c:yMode val="edge"/>
              <c:x val="1.16349727459845E-2"/>
              <c:y val="0.4056246540610989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400" b="1" i="0"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6343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539860867637244"/>
          <c:y val="0.16199151308684248"/>
          <c:w val="6.1563916000276012E-2"/>
          <c:h val="0.79463604230128171"/>
        </c:manualLayout>
      </c:layout>
      <c:overlay val="0"/>
      <c:txPr>
        <a:bodyPr/>
        <a:lstStyle/>
        <a:p>
          <a:pPr>
            <a:defRPr sz="1400" b="1"/>
          </a:pPr>
          <a:endParaRPr lang="zh-TW"/>
        </a:p>
      </c:txPr>
    </c:legend>
    <c:plotVisOnly val="1"/>
    <c:dispBlanksAs val="gap"/>
    <c:showDLblsOverMax val="1"/>
  </c:chart>
  <c:txPr>
    <a:bodyPr/>
    <a:lstStyle/>
    <a:p>
      <a:pPr>
        <a:defRPr sz="1200">
          <a:latin typeface="+mn-lt"/>
          <a:ea typeface="微軟正黑體" panose="020B0604030504040204" pitchFamily="34" charset="-12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en-US" sz="2400" b="1" i="0" u="none" strike="noStrike" baseline="0">
                <a:effectLst/>
              </a:rPr>
              <a:t>墾丁合界</a:t>
            </a:r>
            <a:r>
              <a:rPr lang="en-US" altLang="zh-TW"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10</a:t>
            </a:r>
            <a:r>
              <a:rPr lang="en-US"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m</a:t>
            </a:r>
            <a:r>
              <a:rPr lang="en-US" sz="2400" b="1" i="0" strike="noStrike" spc="114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 歷年</a:t>
            </a:r>
            <a:r>
              <a:rPr lang="zh-TW" altLang="en-US" sz="2400" b="1" i="0" u="none" strike="noStrike" baseline="0">
                <a:effectLst/>
              </a:rPr>
              <a:t>指標性無脊椎動物族群密度</a:t>
            </a:r>
            <a:r>
              <a:rPr lang="zh-TW" altLang="en-US" sz="2400" b="1" i="0" u="none" strike="noStrike" baseline="0"/>
              <a:t> </a:t>
            </a:r>
            <a:endParaRPr lang="en-US" altLang="zh-TW" sz="2400" b="1" i="0" u="none" strike="noStrike" baseline="0"/>
          </a:p>
          <a:p>
            <a:pPr>
              <a:defRPr sz="24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en-US" sz="2400" b="1" i="0" strike="noStrike" spc="114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c:rich>
      </c:tx>
      <c:layout>
        <c:manualLayout>
          <c:xMode val="edge"/>
          <c:yMode val="edge"/>
          <c:x val="0.27235892388451444"/>
          <c:y val="4.1666666666666664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162007664836374E-2"/>
          <c:y val="0.22102665500665084"/>
          <c:w val="0.87093886701662293"/>
          <c:h val="0.64993172803795307"/>
        </c:manualLayout>
      </c:layout>
      <c:lineChart>
        <c:grouping val="standard"/>
        <c:varyColors val="0"/>
        <c:ser>
          <c:idx val="0"/>
          <c:order val="0"/>
          <c:tx>
            <c:strRef>
              <c:f>'Summary (Invertebrates)'!$B$68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chemeClr val="tx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(Invertebrates)'!$C$81:$Z$81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(Invertebrates)'!$C$81:$Z$81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(Invertebrates)'!$C$68:$V$68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B-4AD9-860B-7887195E85CF}"/>
            </c:ext>
          </c:extLst>
        </c:ser>
        <c:ser>
          <c:idx val="1"/>
          <c:order val="1"/>
          <c:tx>
            <c:strRef>
              <c:f>'Summary (Invertebrates)'!$B$69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(Invertebrates)'!$C$82:$Z$82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(Invertebrates)'!$C$82:$Z$82</c:f>
                <c:numCache>
                  <c:formatCode>General</c:formatCode>
                  <c:ptCount val="0"/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prstDash val="solid"/>
                <a:miter lim="800000"/>
                <a:tailEnd type="none" w="med" len="med"/>
              </a:ln>
              <a:effectLst/>
            </c:spPr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(Invertebrates)'!$C$69:$V$69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8B-4AD9-860B-7887195E85CF}"/>
            </c:ext>
          </c:extLst>
        </c:ser>
        <c:ser>
          <c:idx val="2"/>
          <c:order val="2"/>
          <c:tx>
            <c:strRef>
              <c:f>'Summary (Invertebrates)'!$B$70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(Invertebrates)'!$C$83:$Z$83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(Invertebrates)'!$C$83:$Z$83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(Invertebrates)'!$C$70:$V$70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B-4AD9-860B-7887195E85CF}"/>
            </c:ext>
          </c:extLst>
        </c:ser>
        <c:ser>
          <c:idx val="3"/>
          <c:order val="3"/>
          <c:tx>
            <c:strRef>
              <c:f>'Summary (Invertebrates)'!$B$71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(Invertebrates)'!$C$84:$Z$84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(Invertebrates)'!$C$84:$Z$84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(Invertebrates)'!$C$71:$V$71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8B-4AD9-860B-7887195E85CF}"/>
            </c:ext>
          </c:extLst>
        </c:ser>
        <c:ser>
          <c:idx val="4"/>
          <c:order val="4"/>
          <c:tx>
            <c:strRef>
              <c:f>'Summary (Invertebrates)'!$B$72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(Invertebrates)'!$C$85:$Z$85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(Invertebrates)'!$C$85:$Z$85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(Invertebrates)'!$C$72:$V$72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8B-4AD9-860B-7887195E85CF}"/>
            </c:ext>
          </c:extLst>
        </c:ser>
        <c:ser>
          <c:idx val="5"/>
          <c:order val="5"/>
          <c:tx>
            <c:strRef>
              <c:f>'Summary (Invertebrates)'!$B$73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(Invertebrates)'!$C$86:$Z$86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(Invertebrates)'!$C$86:$Z$86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(Invertebrates)'!$C$73:$V$73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8B-4AD9-860B-7887195E85CF}"/>
            </c:ext>
          </c:extLst>
        </c:ser>
        <c:ser>
          <c:idx val="6"/>
          <c:order val="6"/>
          <c:tx>
            <c:strRef>
              <c:f>'Summary (Invertebrates)'!$B$74</c:f>
              <c:strCache>
                <c:ptCount val="0"/>
              </c:strCache>
            </c:strRef>
          </c:tx>
          <c:spPr>
            <a:ln w="22320">
              <a:solidFill>
                <a:srgbClr val="FC20E2"/>
              </a:solidFill>
              <a:round/>
            </a:ln>
          </c:spPr>
          <c:marker>
            <c:symbol val="plus"/>
            <c:size val="6"/>
            <c:spPr>
              <a:solidFill>
                <a:srgbClr val="FC20E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(Invertebrates)'!$C$87:$Z$87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(Invertebrates)'!$C$87:$Z$87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(Invertebrates)'!$C$74:$V$74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8B-4AD9-860B-7887195E85CF}"/>
            </c:ext>
          </c:extLst>
        </c:ser>
        <c:ser>
          <c:idx val="7"/>
          <c:order val="7"/>
          <c:tx>
            <c:strRef>
              <c:f>'Summary (Invertebrates)'!$B$75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(Invertebrates)'!$C$88:$Z$88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(Invertebrates)'!$C$88:$Z$88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(Invertebrates)'!$C$75:$V$75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8B-4AD9-860B-7887195E85CF}"/>
            </c:ext>
          </c:extLst>
        </c:ser>
        <c:ser>
          <c:idx val="8"/>
          <c:order val="8"/>
          <c:tx>
            <c:strRef>
              <c:f>'Summary (Invertebrates)'!$B$76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(Invertebrates)'!$C$89:$Z$89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(Invertebrates)'!$C$89:$Z$89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(Invertebrates)'!$C$76:$V$76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8B-4AD9-860B-7887195E85CF}"/>
            </c:ext>
          </c:extLst>
        </c:ser>
        <c:ser>
          <c:idx val="9"/>
          <c:order val="9"/>
          <c:tx>
            <c:strRef>
              <c:f>'Summary (Invertebrates)'!$B$77</c:f>
              <c:strCache>
                <c:ptCount val="0"/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'Summary (Invertebrates)'!$C$90:$Z$90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(Invertebrates)'!$C$90:$Z$90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(Invertebrates)'!$C$67:$V$67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(Invertebrates)'!$C$77:$V$77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2-0647-ADA8-6A8FE147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1844008"/>
        <c:axId val="2121831160"/>
      </c:lineChart>
      <c:catAx>
        <c:axId val="2121844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[$-C09]mmm\-yy" sourceLinked="1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31160"/>
        <c:crosses val="autoZero"/>
        <c:auto val="0"/>
        <c:lblAlgn val="ctr"/>
        <c:lblOffset val="100"/>
        <c:noMultiLvlLbl val="1"/>
      </c:catAx>
      <c:valAx>
        <c:axId val="2121831160"/>
        <c:scaling>
          <c:orientation val="minMax"/>
          <c:max val="5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1" i="0" u="none" strike="noStrike" kern="1200" baseline="0">
                    <a:solidFill>
                      <a:sysClr val="windowText" lastClr="000000"/>
                    </a:solidFill>
                  </a:rPr>
                  <a:t>隻</a:t>
                </a:r>
                <a:r>
                  <a:rPr lang="en-US" altLang="zh-TW" sz="1800" b="1" i="0" u="none" strike="noStrike" kern="1200" baseline="0">
                    <a:solidFill>
                      <a:sysClr val="windowText" lastClr="000000"/>
                    </a:solidFill>
                  </a:rPr>
                  <a:t>/100m</a:t>
                </a:r>
                <a:r>
                  <a:rPr lang="en-US" altLang="zh-TW" sz="1800" b="1" i="0" u="none" strike="noStrike" kern="1200" baseline="30000">
                    <a:solidFill>
                      <a:sysClr val="windowText" lastClr="000000"/>
                    </a:solidFill>
                  </a:rPr>
                  <a:t>2</a:t>
                </a:r>
                <a:endParaRPr lang="zh-TW" altLang="en-US" sz="1800" b="1" i="0" u="none" strike="noStrike" kern="1200" baseline="300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1.4893372703412074E-2"/>
              <c:y val="0.38092423993875768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44008"/>
        <c:crosses val="autoZero"/>
        <c:crossBetween val="midCat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4232010061242345"/>
          <c:y val="0.205384541776028"/>
          <c:w val="0.7656284175415573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6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zh-TW" altLang="en-US" sz="2400" b="1" i="0" u="none" strike="noStrike" baseline="0">
                <a:effectLst/>
              </a:rPr>
              <a:t>墾丁合界</a:t>
            </a:r>
            <a:r>
              <a:rPr lang="en-US" altLang="zh-TW"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5</a:t>
            </a:r>
            <a:r>
              <a:rPr lang="en-US"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m</a:t>
            </a:r>
            <a:r>
              <a:rPr lang="en-US" sz="2400" b="1" strike="noStrike" spc="114" baseline="0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 歷年</a:t>
            </a:r>
            <a:r>
              <a:rPr lang="zh-TW" altLang="en-US" sz="2400" b="1" i="0" u="none" strike="noStrike" baseline="0">
                <a:effectLst/>
              </a:rPr>
              <a:t>指標性無脊椎動物族群密度</a:t>
            </a:r>
            <a:r>
              <a:rPr lang="zh-TW" altLang="en-US" sz="2400" b="1" i="0" u="none" strike="noStrike" baseline="0"/>
              <a:t> </a:t>
            </a:r>
            <a:endParaRPr lang="en-US" altLang="zh-TW" sz="2400" b="1" i="0" u="none" strike="noStrike" baseline="0"/>
          </a:p>
          <a:p>
            <a:pPr>
              <a:defRPr sz="2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2400" b="1" i="0" u="none" strike="noStrike" kern="1200" spc="114" baseline="0">
                <a:solidFill>
                  <a:sysClr val="windowText" lastClr="000000"/>
                </a:solidFill>
                <a:effectLst/>
                <a:latin typeface="Microsoft JhengHei" panose="020B0604030504040204" pitchFamily="34" charset="-120"/>
                <a:ea typeface="Microsoft JhengHei" panose="020B0604030504040204" pitchFamily="34" charset="-120"/>
              </a:rPr>
              <a:t>2016-202604</a:t>
            </a:r>
            <a:endParaRPr lang="zh-TW" altLang="en-US" sz="2400" b="1" strike="noStrike" spc="114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c:rich>
      </c:tx>
      <c:layout>
        <c:manualLayout>
          <c:xMode val="edge"/>
          <c:yMode val="edge"/>
          <c:x val="0.29207895888014007"/>
          <c:y val="2.4305555555555556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729781824146987E-2"/>
          <c:y val="0.22343348934728979"/>
          <c:w val="0.87700549655307924"/>
          <c:h val="0.65443483921119916"/>
        </c:manualLayout>
      </c:layout>
      <c:lineChart>
        <c:grouping val="standard"/>
        <c:varyColors val="0"/>
        <c:ser>
          <c:idx val="0"/>
          <c:order val="0"/>
          <c:tx>
            <c:strRef>
              <c:f>'Summary (Invertebrates)'!$B$2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chemeClr val="tx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(Invertebrates)'!$C$15:$Z$15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(Invertebrates)'!$C$15:$Z$15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(Invertebrates)'!$C$2:$V$2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12-44D9-9361-B2501AB74569}"/>
            </c:ext>
          </c:extLst>
        </c:ser>
        <c:ser>
          <c:idx val="1"/>
          <c:order val="1"/>
          <c:tx>
            <c:strRef>
              <c:f>'Summary (Invertebrates)'!$B$3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(Invertebrates)'!$C$16:$Z$16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(Invertebrates)'!$C$16:$Z$16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(Invertebrates)'!$C$3:$V$3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12-44D9-9361-B2501AB74569}"/>
            </c:ext>
          </c:extLst>
        </c:ser>
        <c:ser>
          <c:idx val="2"/>
          <c:order val="2"/>
          <c:tx>
            <c:strRef>
              <c:f>'Summary (Invertebrates)'!$B$4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(Invertebrates)'!$C$17:$Z$17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(Invertebrates)'!$C$17:$Z$17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(Invertebrates)'!$C$4:$V$4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12-44D9-9361-B2501AB74569}"/>
            </c:ext>
          </c:extLst>
        </c:ser>
        <c:ser>
          <c:idx val="3"/>
          <c:order val="3"/>
          <c:tx>
            <c:strRef>
              <c:f>'Summary (Invertebrates)'!$B$5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(Invertebrates)'!$C$18:$Z$18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(Invertebrates)'!$C$18:$Z$18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(Invertebrates)'!$C$5:$V$5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12-44D9-9361-B2501AB74569}"/>
            </c:ext>
          </c:extLst>
        </c:ser>
        <c:ser>
          <c:idx val="4"/>
          <c:order val="4"/>
          <c:tx>
            <c:strRef>
              <c:f>'Summary (Invertebrates)'!$B$6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(Invertebrates)'!$C$19:$Z$19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(Invertebrates)'!$C$19:$Z$19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(Invertebrates)'!$C$6:$V$6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12-44D9-9361-B2501AB74569}"/>
            </c:ext>
          </c:extLst>
        </c:ser>
        <c:ser>
          <c:idx val="5"/>
          <c:order val="5"/>
          <c:tx>
            <c:strRef>
              <c:f>'Summary (Invertebrates)'!$B$7</c:f>
              <c:strCache>
                <c:ptCount val="0"/>
              </c:strCache>
            </c:strRef>
          </c:tx>
          <c:spPr>
            <a:ln w="2232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(Invertebrates)'!$C$20:$Z$20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(Invertebrates)'!$C$20:$Z$20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(Invertebrates)'!$C$7:$V$7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12-44D9-9361-B2501AB74569}"/>
            </c:ext>
          </c:extLst>
        </c:ser>
        <c:ser>
          <c:idx val="6"/>
          <c:order val="6"/>
          <c:tx>
            <c:strRef>
              <c:f>'Summary (Invertebrates)'!$B$8</c:f>
              <c:strCache>
                <c:ptCount val="0"/>
              </c:strCache>
            </c:strRef>
          </c:tx>
          <c:spPr>
            <a:ln w="22320">
              <a:solidFill>
                <a:srgbClr val="FC20E2"/>
              </a:solidFill>
              <a:round/>
            </a:ln>
          </c:spPr>
          <c:marker>
            <c:symbol val="plus"/>
            <c:size val="6"/>
            <c:spPr>
              <a:solidFill>
                <a:srgbClr val="FC20E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(Invertebrates)'!$C$21:$Z$21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(Invertebrates)'!$C$21:$Z$21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(Invertebrates)'!$C$8:$V$8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12-44D9-9361-B2501AB74569}"/>
            </c:ext>
          </c:extLst>
        </c:ser>
        <c:ser>
          <c:idx val="7"/>
          <c:order val="7"/>
          <c:tx>
            <c:strRef>
              <c:f>'Summary (Invertebrates)'!$B$9</c:f>
              <c:strCache>
                <c:ptCount val="0"/>
              </c:strCache>
            </c:strRef>
          </c:tx>
          <c:spPr>
            <a:ln w="22320">
              <a:solidFill>
                <a:srgbClr val="9E480E"/>
              </a:solidFill>
              <a:round/>
            </a:ln>
          </c:spPr>
          <c:marker>
            <c:symbol val="triangle"/>
            <c:size val="6"/>
            <c:spPr>
              <a:solidFill>
                <a:srgbClr val="9E480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(Invertebrates)'!$C$22:$Z$22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(Invertebrates)'!$C$22:$Z$22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(Invertebrates)'!$C$9:$V$9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12-44D9-9361-B2501AB74569}"/>
            </c:ext>
          </c:extLst>
        </c:ser>
        <c:ser>
          <c:idx val="8"/>
          <c:order val="8"/>
          <c:tx>
            <c:strRef>
              <c:f>'Summary (Invertebrates)'!$B$10</c:f>
              <c:strCache>
                <c:ptCount val="0"/>
              </c:strCache>
            </c:strRef>
          </c:tx>
          <c:spPr>
            <a:ln w="22320">
              <a:solidFill>
                <a:srgbClr val="636363"/>
              </a:solidFill>
              <a:round/>
            </a:ln>
          </c:spPr>
          <c:marker>
            <c:symbol val="dash"/>
            <c:size val="6"/>
            <c:spPr>
              <a:solidFill>
                <a:srgbClr val="63636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'Summary (Invertebrates)'!$C$23:$Z$23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(Invertebrates)'!$C$23:$Z$23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(Invertebrates)'!$C$10:$V$10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12-44D9-9361-B2501AB74569}"/>
            </c:ext>
          </c:extLst>
        </c:ser>
        <c:ser>
          <c:idx val="9"/>
          <c:order val="9"/>
          <c:tx>
            <c:strRef>
              <c:f>'Summary (Invertebrates)'!$B$11</c:f>
              <c:strCache>
                <c:ptCount val="0"/>
              </c:strCache>
            </c:strRef>
          </c:tx>
          <c:errBars>
            <c:errDir val="y"/>
            <c:errBarType val="both"/>
            <c:errValType val="cust"/>
            <c:noEndCap val="0"/>
            <c:plus>
              <c:numRef>
                <c:f>'Summary (Invertebrates)'!$C$24:$Z$24</c:f>
                <c:numCache>
                  <c:formatCode>General</c:formatCode>
                  <c:ptCount val="0"/>
                </c:numCache>
              </c:numRef>
            </c:plus>
            <c:minus>
              <c:numRef>
                <c:f>'Summary (Invertebrates)'!$C$24:$Z$24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'Summary (Invertebrates)'!$C$1:$V$1</c:f>
              <c:numCache>
                <c:formatCode>[$-C09]mmm\-yy</c:formatCode>
                <c:ptCount val="0"/>
              </c:numCache>
            </c:numRef>
          </c:cat>
          <c:val>
            <c:numRef>
              <c:f>'Summary (Invertebrates)'!$C$11:$V$11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7-5D4E-8EC7-BB25F341D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498008"/>
        <c:axId val="2124156296"/>
      </c:lineChart>
      <c:catAx>
        <c:axId val="2131498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[$-C09]mmm\-yy" sourceLinked="1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4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4156296"/>
        <c:crosses val="autoZero"/>
        <c:auto val="0"/>
        <c:lblAlgn val="ctr"/>
        <c:lblOffset val="100"/>
        <c:noMultiLvlLbl val="1"/>
      </c:catAx>
      <c:valAx>
        <c:axId val="2124156296"/>
        <c:scaling>
          <c:orientation val="minMax"/>
          <c:max val="110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1" i="0" baseline="0">
                    <a:effectLst/>
                  </a:rPr>
                  <a:t>隻</a:t>
                </a:r>
                <a:r>
                  <a:rPr lang="en-US" altLang="zh-TW" sz="1800" b="1" i="0" baseline="0">
                    <a:effectLst/>
                  </a:rPr>
                  <a:t>/100m</a:t>
                </a:r>
                <a:r>
                  <a:rPr lang="en-US" altLang="zh-TW" sz="1800" b="1" i="0" baseline="30000">
                    <a:effectLst/>
                  </a:rPr>
                  <a:t>2</a:t>
                </a:r>
                <a:endParaRPr lang="zh-TW" altLang="en-US" baseline="30000"/>
              </a:p>
            </c:rich>
          </c:tx>
          <c:layout>
            <c:manualLayout>
              <c:xMode val="edge"/>
              <c:yMode val="edge"/>
              <c:x val="1.7020245516185476E-2"/>
              <c:y val="0.40098766951006115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31498008"/>
        <c:crosses val="autoZero"/>
        <c:crossBetween val="midCat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3869784831583554"/>
          <c:y val="0.19230574693788274"/>
          <c:w val="0.73090619531933509"/>
          <c:h val="4.2411007217847768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6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1800" b="1" i="0" u="none" strike="noStrike" baseline="0">
                <a:effectLst/>
              </a:rPr>
              <a:t>2016-2024</a:t>
            </a:r>
            <a:r>
              <a:rPr lang="en-US" altLang="zh-TW" sz="1800" b="1" i="0" u="none" strike="noStrike" baseline="0"/>
              <a:t> </a:t>
            </a:r>
            <a:r>
              <a:rPr lang="zh-TW" altLang="zh-TW" sz="1800" b="1" i="0" u="none" strike="noStrike" baseline="0">
                <a:effectLst/>
              </a:rPr>
              <a:t>年墾丁</a:t>
            </a:r>
            <a:r>
              <a:rPr lang="zh-TW" altLang="en-US" sz="1800" b="1" i="0" u="none" strike="noStrike" baseline="0">
                <a:effectLst/>
              </a:rPr>
              <a:t>合界</a:t>
            </a:r>
            <a:r>
              <a:rPr lang="zh-TW" altLang="en-US" sz="1800" b="1" i="0" u="none" strike="noStrike" baseline="0"/>
              <a:t> </a:t>
            </a:r>
            <a:r>
              <a:rPr lang="en-US" altLang="zh-TW" sz="18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10</a:t>
            </a:r>
            <a:r>
              <a:rPr lang="en-US" sz="18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m</a:t>
            </a:r>
            <a:br>
              <a:rPr lang="en-US" sz="1800" b="1" i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</a:br>
            <a:r>
              <a:rPr lang="zh-TW" altLang="en-US" sz="1800" b="1" i="0" u="none" strike="noStrike" baseline="0">
                <a:effectLst/>
              </a:rPr>
              <a:t>環境衝擊程度</a:t>
            </a:r>
            <a:endParaRPr lang="zh-TW" altLang="en-US" sz="1800" b="1" i="0" strike="noStrike" spc="114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162007664836374E-2"/>
          <c:y val="0.19395725068799299"/>
          <c:w val="0.86833467372397932"/>
          <c:h val="0.67700110523123003"/>
        </c:manualLayout>
      </c:layout>
      <c:lineChart>
        <c:grouping val="standard"/>
        <c:varyColors val="0"/>
        <c:ser>
          <c:idx val="0"/>
          <c:order val="0"/>
          <c:tx>
            <c:strRef>
              <c:f>Impacts!$A$52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Impacts!$B$60:$AZ$60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Impacts!$B$60:$AZ$60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Impacts!$B$51:$U$51</c:f>
              <c:numCache>
                <c:formatCode>[$-C09]mmm\-yy</c:formatCode>
                <c:ptCount val="0"/>
              </c:numCache>
            </c:numRef>
          </c:cat>
          <c:val>
            <c:numRef>
              <c:f>Impacts!$B$52:$U$52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A-8145-80F1-8C08E96A5D31}"/>
            </c:ext>
          </c:extLst>
        </c:ser>
        <c:ser>
          <c:idx val="1"/>
          <c:order val="1"/>
          <c:tx>
            <c:strRef>
              <c:f>Impacts!$A$53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Impacts!$B$61:$AZ$61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Impacts!$B$61:$AZ$61</c:f>
                <c:numCache>
                  <c:formatCode>General</c:formatCode>
                  <c:ptCount val="0"/>
                </c:numCache>
              </c:numRef>
            </c:minus>
            <c:spPr>
              <a:noFill/>
              <a:ln w="6350" cap="flat" cmpd="sng" algn="ctr">
                <a:solidFill>
                  <a:schemeClr val="tx1"/>
                </a:solidFill>
                <a:prstDash val="solid"/>
                <a:miter lim="800000"/>
                <a:tailEnd type="none" w="med" len="med"/>
              </a:ln>
              <a:effectLst/>
            </c:spPr>
          </c:errBars>
          <c:cat>
            <c:numRef>
              <c:f>Impacts!$B$51:$U$51</c:f>
              <c:numCache>
                <c:formatCode>[$-C09]mmm\-yy</c:formatCode>
                <c:ptCount val="0"/>
              </c:numCache>
            </c:numRef>
          </c:cat>
          <c:val>
            <c:numRef>
              <c:f>Impacts!$B$53:$U$53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A-8145-80F1-8C08E96A5D31}"/>
            </c:ext>
          </c:extLst>
        </c:ser>
        <c:ser>
          <c:idx val="2"/>
          <c:order val="2"/>
          <c:tx>
            <c:strRef>
              <c:f>Impacts!$A$54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Impacts!$B$62:$AZ$62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Impacts!$B$62:$AZ$62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Impacts!$B$51:$U$51</c:f>
              <c:numCache>
                <c:formatCode>[$-C09]mmm\-yy</c:formatCode>
                <c:ptCount val="0"/>
              </c:numCache>
            </c:numRef>
          </c:cat>
          <c:val>
            <c:numRef>
              <c:f>Impacts!$B$54:$U$54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CA-8145-80F1-8C08E96A5D31}"/>
            </c:ext>
          </c:extLst>
        </c:ser>
        <c:ser>
          <c:idx val="3"/>
          <c:order val="3"/>
          <c:tx>
            <c:strRef>
              <c:f>Impacts!$A$55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Impacts!$B$63:$AZ$63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Impacts!$B$63:$AZ$63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Impacts!$B$51:$U$51</c:f>
              <c:numCache>
                <c:formatCode>[$-C09]mmm\-yy</c:formatCode>
                <c:ptCount val="0"/>
              </c:numCache>
            </c:numRef>
          </c:cat>
          <c:val>
            <c:numRef>
              <c:f>Impacts!$B$55:$U$55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CA-8145-80F1-8C08E96A5D31}"/>
            </c:ext>
          </c:extLst>
        </c:ser>
        <c:ser>
          <c:idx val="4"/>
          <c:order val="4"/>
          <c:tx>
            <c:strRef>
              <c:f>Impacts!$A$56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Impacts!$B$64:$AZ$64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Impacts!$B$64:$AZ$64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Impacts!$B$51:$U$51</c:f>
              <c:numCache>
                <c:formatCode>[$-C09]mmm\-yy</c:formatCode>
                <c:ptCount val="0"/>
              </c:numCache>
            </c:numRef>
          </c:cat>
          <c:val>
            <c:numRef>
              <c:f>Impacts!$B$56:$U$56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CA-8145-80F1-8C08E96A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2121844008"/>
        <c:axId val="2121831160"/>
      </c:lineChart>
      <c:catAx>
        <c:axId val="2121844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[$-C09]mmm\-yy" sourceLinked="1"/>
        <c:majorTickMark val="none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2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31160"/>
        <c:crosses val="autoZero"/>
        <c:auto val="0"/>
        <c:lblAlgn val="ctr"/>
        <c:lblOffset val="100"/>
        <c:noMultiLvlLbl val="1"/>
      </c:catAx>
      <c:valAx>
        <c:axId val="212183116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sz="1800" b="1" i="0" baseline="0">
                    <a:effectLst/>
                  </a:rPr>
                  <a:t>環境衝擊程度</a:t>
                </a:r>
                <a:endParaRPr lang="zh-TW" altLang="zh-TW">
                  <a:effectLst/>
                </a:endParaRPr>
              </a:p>
            </c:rich>
          </c:tx>
          <c:layout>
            <c:manualLayout>
              <c:xMode val="edge"/>
              <c:yMode val="edge"/>
              <c:x val="1.5484966941925062E-2"/>
              <c:y val="0.38844593948586537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1844008"/>
        <c:crosses val="autoZero"/>
        <c:crossBetween val="midCat"/>
        <c:majorUnit val="1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2707976747220917"/>
          <c:y val="0.13505439997505603"/>
          <c:w val="0.803387135990424"/>
          <c:h val="4.2805455005737091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400" b="1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r>
              <a:rPr lang="en-US" altLang="zh-TW" sz="1800" b="1" i="0" u="none" strike="noStrike" baseline="0">
                <a:effectLst/>
              </a:rPr>
              <a:t>2016-2024</a:t>
            </a:r>
            <a:r>
              <a:rPr lang="zh-TW" altLang="zh-TW" sz="1800" b="1" i="0" u="none" strike="noStrike" baseline="0">
                <a:effectLst/>
              </a:rPr>
              <a:t>年墾丁</a:t>
            </a:r>
            <a:r>
              <a:rPr lang="zh-TW" altLang="en-US" sz="1800" b="1" i="0" u="none" strike="noStrike" baseline="0">
                <a:effectLst/>
              </a:rPr>
              <a:t>合界</a:t>
            </a:r>
            <a:r>
              <a:rPr lang="en-US" altLang="zh-TW" sz="18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5</a:t>
            </a:r>
            <a:r>
              <a:rPr lang="en-US" sz="18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m</a:t>
            </a:r>
            <a:br>
              <a:rPr lang="en-US" sz="1800" b="1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</a:br>
            <a:r>
              <a:rPr lang="zh-TW" altLang="en-US" sz="1800" b="1" i="0" u="none" strike="noStrike" baseline="0">
                <a:effectLst/>
              </a:rPr>
              <a:t>環境衝擊程度</a:t>
            </a:r>
            <a:endParaRPr lang="zh-TW" altLang="en-US" sz="1800" b="1" strike="noStrike" spc="114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c:rich>
      </c:tx>
      <c:layout>
        <c:manualLayout>
          <c:xMode val="edge"/>
          <c:yMode val="edge"/>
          <c:x val="0.38628764371396701"/>
          <c:y val="3.8547203630776836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566390871062982E-2"/>
          <c:y val="0.27791631388018601"/>
          <c:w val="0.86838436577263778"/>
          <c:h val="0.5904676732128944"/>
        </c:manualLayout>
      </c:layout>
      <c:lineChart>
        <c:grouping val="standard"/>
        <c:varyColors val="0"/>
        <c:ser>
          <c:idx val="0"/>
          <c:order val="0"/>
          <c:tx>
            <c:strRef>
              <c:f>Impacts!$A$2</c:f>
              <c:strCache>
                <c:ptCount val="0"/>
              </c:strCache>
            </c:strRef>
          </c:tx>
          <c:spPr>
            <a:ln w="22320">
              <a:solidFill>
                <a:srgbClr val="5B9BD5"/>
              </a:solidFill>
              <a:round/>
            </a:ln>
          </c:spPr>
          <c:marker>
            <c:symbol val="diamond"/>
            <c:size val="6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Impacts!$B$10:$AZ$10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Impacts!$B$10:$AZ$10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Impacts!$B$1:$U$1</c:f>
              <c:numCache>
                <c:formatCode>[$-C09]mmm\-yy</c:formatCode>
                <c:ptCount val="0"/>
              </c:numCache>
            </c:numRef>
          </c:cat>
          <c:val>
            <c:numRef>
              <c:f>Impacts!$B$2:$U$2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8-9643-9AAC-2D69CEB69B3F}"/>
            </c:ext>
          </c:extLst>
        </c:ser>
        <c:ser>
          <c:idx val="1"/>
          <c:order val="1"/>
          <c:tx>
            <c:strRef>
              <c:f>Impacts!$A$3</c:f>
              <c:strCache>
                <c:ptCount val="0"/>
              </c:strCache>
            </c:strRef>
          </c:tx>
          <c:spPr>
            <a:ln w="22320">
              <a:solidFill>
                <a:srgbClr val="ED7D31"/>
              </a:solidFill>
              <a:round/>
            </a:ln>
          </c:spPr>
          <c:marker>
            <c:symbol val="squar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Impacts!$B$11:$AZ$11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Impacts!$B$11:$AZ$11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Impacts!$B$1:$U$1</c:f>
              <c:numCache>
                <c:formatCode>[$-C09]mmm\-yy</c:formatCode>
                <c:ptCount val="0"/>
              </c:numCache>
            </c:numRef>
          </c:cat>
          <c:val>
            <c:numRef>
              <c:f>Impacts!$B$3:$U$3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8-9643-9AAC-2D69CEB69B3F}"/>
            </c:ext>
          </c:extLst>
        </c:ser>
        <c:ser>
          <c:idx val="2"/>
          <c:order val="2"/>
          <c:tx>
            <c:strRef>
              <c:f>Impacts!$A$4</c:f>
              <c:strCache>
                <c:ptCount val="0"/>
              </c:strCache>
            </c:strRef>
          </c:tx>
          <c:spPr>
            <a:ln w="22320">
              <a:solidFill>
                <a:srgbClr val="A5A5A5"/>
              </a:solidFill>
              <a:round/>
            </a:ln>
          </c:spPr>
          <c:marker>
            <c:symbol val="triangle"/>
            <c:size val="6"/>
            <c:spPr>
              <a:solidFill>
                <a:srgbClr val="A5A5A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Impacts!$B$12:$AZ$12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Impacts!$B$12:$AZ$12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Impacts!$B$1:$U$1</c:f>
              <c:numCache>
                <c:formatCode>[$-C09]mmm\-yy</c:formatCode>
                <c:ptCount val="0"/>
              </c:numCache>
            </c:numRef>
          </c:cat>
          <c:val>
            <c:numRef>
              <c:f>Impacts!$B$4:$U$4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8-9643-9AAC-2D69CEB69B3F}"/>
            </c:ext>
          </c:extLst>
        </c:ser>
        <c:ser>
          <c:idx val="3"/>
          <c:order val="3"/>
          <c:tx>
            <c:strRef>
              <c:f>Impacts!$A$5</c:f>
              <c:strCache>
                <c:ptCount val="0"/>
              </c:strCache>
            </c:strRef>
          </c:tx>
          <c:spPr>
            <a:ln w="22320">
              <a:solidFill>
                <a:srgbClr val="FFC000"/>
              </a:solidFill>
              <a:round/>
            </a:ln>
          </c:spPr>
          <c:marker>
            <c:symbol val="x"/>
            <c:size val="6"/>
            <c:spPr>
              <a:solidFill>
                <a:srgbClr val="FFC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Impacts!$B$13:$AZ$13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Impacts!$B$13:$AZ$13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Impacts!$B$1:$U$1</c:f>
              <c:numCache>
                <c:formatCode>[$-C09]mmm\-yy</c:formatCode>
                <c:ptCount val="0"/>
              </c:numCache>
            </c:numRef>
          </c:cat>
          <c:val>
            <c:numRef>
              <c:f>Impacts!$B$5:$U$5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8-9643-9AAC-2D69CEB69B3F}"/>
            </c:ext>
          </c:extLst>
        </c:ser>
        <c:ser>
          <c:idx val="4"/>
          <c:order val="4"/>
          <c:tx>
            <c:strRef>
              <c:f>Impacts!$A$6</c:f>
              <c:strCache>
                <c:ptCount val="0"/>
              </c:strCache>
            </c:strRef>
          </c:tx>
          <c:spPr>
            <a:ln w="22320">
              <a:solidFill>
                <a:srgbClr val="4472C4"/>
              </a:solidFill>
              <a:round/>
            </a:ln>
          </c:spPr>
          <c:marker>
            <c:symbol val="square"/>
            <c:size val="6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zh-TW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Impacts!$B$14:$AZ$14</c:f>
                <c:numCache>
                  <c:formatCode>General</c:formatCode>
                  <c:ptCount val="0"/>
                </c:numCache>
              </c:numRef>
            </c:plus>
            <c:minus>
              <c:numRef>
                <c:f>Impacts!$B$14:$AZ$14</c:f>
                <c:numCache>
                  <c:formatCode>General</c:formatCode>
                  <c:ptCount val="0"/>
                </c:numCache>
              </c:numRef>
            </c:minus>
          </c:errBars>
          <c:cat>
            <c:numRef>
              <c:f>Impacts!$B$1:$U$1</c:f>
              <c:numCache>
                <c:formatCode>[$-C09]mmm\-yy</c:formatCode>
                <c:ptCount val="0"/>
              </c:numCache>
            </c:numRef>
          </c:cat>
          <c:val>
            <c:numRef>
              <c:f>Impacts!$B$6:$U$6</c:f>
              <c:numCache>
                <c:formatCode>General</c:formatCode>
                <c:ptCount val="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A8-9643-9AAC-2D69CEB6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marker val="1"/>
        <c:smooth val="0"/>
        <c:axId val="2131498008"/>
        <c:axId val="2124156296"/>
      </c:lineChart>
      <c:catAx>
        <c:axId val="2131498008"/>
        <c:scaling>
          <c:orientation val="minMax"/>
        </c:scaling>
        <c:delete val="0"/>
        <c:axPos val="b"/>
        <c:majorGridlines>
          <c:spPr>
            <a:ln w="9360">
              <a:noFill/>
              <a:round/>
            </a:ln>
          </c:spPr>
        </c:majorGridlines>
        <c:numFmt formatCode="[$-C09]mmm\-yy" sourceLinked="1"/>
        <c:majorTickMark val="out"/>
        <c:minorTickMark val="none"/>
        <c:tickLblPos val="low"/>
        <c:spPr>
          <a:ln w="9360">
            <a:solidFill>
              <a:srgbClr val="D9D9D9"/>
            </a:solidFill>
            <a:round/>
          </a:ln>
        </c:spPr>
        <c:txPr>
          <a:bodyPr rot="-1800000" vert="horz"/>
          <a:lstStyle/>
          <a:p>
            <a:pPr>
              <a:defRPr sz="1050" b="0" strike="noStrike" spc="114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24156296"/>
        <c:crosses val="autoZero"/>
        <c:auto val="0"/>
        <c:lblAlgn val="ctr"/>
        <c:lblOffset val="100"/>
        <c:noMultiLvlLbl val="1"/>
      </c:catAx>
      <c:valAx>
        <c:axId val="21241562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zh-TW" altLang="zh-TW" sz="1400" b="1" i="0" baseline="0">
                    <a:effectLst/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環境衝擊程度</a:t>
                </a:r>
                <a:endParaRPr lang="zh-TW" altLang="zh-TW" sz="1400" b="1" i="0">
                  <a:effectLst/>
                  <a:latin typeface="Microsoft JhengHei" panose="020B0604030504040204" pitchFamily="34" charset="-120"/>
                  <a:ea typeface="Microsoft JhengHei" panose="020B0604030504040204" pitchFamily="34" charset="-120"/>
                </a:endParaRPr>
              </a:p>
            </c:rich>
          </c:tx>
          <c:layout>
            <c:manualLayout>
              <c:xMode val="edge"/>
              <c:yMode val="edge"/>
              <c:x val="1.2916728766324192E-3"/>
              <c:y val="0.3806176610814844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200" b="0" strike="noStrike" spc="-1">
                <a:solidFill>
                  <a:schemeClr val="tx1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defRPr>
            </a:pPr>
            <a:endParaRPr lang="zh-TW"/>
          </a:p>
        </c:txPr>
        <c:crossAx val="2131498008"/>
        <c:crosses val="autoZero"/>
        <c:crossBetween val="midCat"/>
        <c:majorUnit val="1"/>
      </c:valAx>
      <c:spPr>
        <a:noFill/>
        <a:ln>
          <a:noFill/>
        </a:ln>
      </c:spPr>
    </c:plotArea>
    <c:legend>
      <c:legendPos val="t"/>
      <c:layout>
        <c:manualLayout>
          <c:xMode val="edge"/>
          <c:yMode val="edge"/>
          <c:x val="0.14822627352375092"/>
          <c:y val="0.19038035477057091"/>
          <c:w val="0.71202305459801885"/>
          <c:h val="3.8206156073957651E-2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1200" b="0" strike="noStrike" spc="-1">
              <a:solidFill>
                <a:schemeClr val="tx1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chemeClr val="tx1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281873</xdr:colOff>
      <xdr:row>1</xdr:row>
      <xdr:rowOff>16072</xdr:rowOff>
    </xdr:from>
    <xdr:to>
      <xdr:col>19</xdr:col>
      <xdr:colOff>482625</xdr:colOff>
      <xdr:row>24</xdr:row>
      <xdr:rowOff>192954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A4C02-530D-E844-B93B-1B2A8FA28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170302</xdr:colOff>
      <xdr:row>44</xdr:row>
      <xdr:rowOff>172169</xdr:rowOff>
    </xdr:from>
    <xdr:to>
      <xdr:col>20</xdr:col>
      <xdr:colOff>371054</xdr:colOff>
      <xdr:row>66</xdr:row>
      <xdr:rowOff>12424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07985E5-4BF4-574F-BEA9-82DAF6E44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134444</xdr:colOff>
      <xdr:row>113</xdr:row>
      <xdr:rowOff>132856</xdr:rowOff>
    </xdr:from>
    <xdr:to>
      <xdr:col>20</xdr:col>
      <xdr:colOff>335196</xdr:colOff>
      <xdr:row>134</xdr:row>
      <xdr:rowOff>95521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3693025-C49D-494B-BEC3-548850E59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270941</xdr:colOff>
      <xdr:row>86</xdr:row>
      <xdr:rowOff>406296</xdr:rowOff>
    </xdr:from>
    <xdr:to>
      <xdr:col>20</xdr:col>
      <xdr:colOff>471693</xdr:colOff>
      <xdr:row>106</xdr:row>
      <xdr:rowOff>93539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097C9B5-A840-CD23-7153-A0C761D48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337042</xdr:colOff>
      <xdr:row>136</xdr:row>
      <xdr:rowOff>135774</xdr:rowOff>
    </xdr:from>
    <xdr:to>
      <xdr:col>20</xdr:col>
      <xdr:colOff>537794</xdr:colOff>
      <xdr:row>159</xdr:row>
      <xdr:rowOff>144342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444EEF6F-EFF8-B7EE-20D1-B437BED37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474142</xdr:colOff>
      <xdr:row>161</xdr:row>
      <xdr:rowOff>25399</xdr:rowOff>
    </xdr:from>
    <xdr:to>
      <xdr:col>21</xdr:col>
      <xdr:colOff>1641</xdr:colOff>
      <xdr:row>171</xdr:row>
      <xdr:rowOff>462402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0555AD15-15F6-D213-1CB0-10C948AE1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345806</xdr:colOff>
      <xdr:row>67</xdr:row>
      <xdr:rowOff>82015</xdr:rowOff>
    </xdr:from>
    <xdr:to>
      <xdr:col>20</xdr:col>
      <xdr:colOff>546558</xdr:colOff>
      <xdr:row>81</xdr:row>
      <xdr:rowOff>14077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3D9613FB-543D-BFF3-3845-24C3F3FA6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628879</xdr:colOff>
      <xdr:row>21</xdr:row>
      <xdr:rowOff>219725</xdr:rowOff>
    </xdr:from>
    <xdr:to>
      <xdr:col>20</xdr:col>
      <xdr:colOff>156378</xdr:colOff>
      <xdr:row>45</xdr:row>
      <xdr:rowOff>14077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B6CDADC0-A871-8BB9-73C3-47EDD6826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59071</xdr:colOff>
      <xdr:row>104</xdr:row>
      <xdr:rowOff>47319</xdr:rowOff>
    </xdr:from>
    <xdr:to>
      <xdr:col>19</xdr:col>
      <xdr:colOff>736405</xdr:colOff>
      <xdr:row>143</xdr:row>
      <xdr:rowOff>98119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C1F1D4F-3AD5-864D-A1BC-B82272D0F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705952</xdr:colOff>
      <xdr:row>29</xdr:row>
      <xdr:rowOff>21553</xdr:rowOff>
    </xdr:from>
    <xdr:to>
      <xdr:col>18</xdr:col>
      <xdr:colOff>367285</xdr:colOff>
      <xdr:row>68</xdr:row>
      <xdr:rowOff>72353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6C26677-B84B-D641-8560-13C2D51A8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327374</xdr:colOff>
      <xdr:row>28</xdr:row>
      <xdr:rowOff>25801</xdr:rowOff>
    </xdr:from>
    <xdr:to>
      <xdr:col>36</xdr:col>
      <xdr:colOff>412040</xdr:colOff>
      <xdr:row>67</xdr:row>
      <xdr:rowOff>76601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ADEDE263-D5E9-3195-8E16-68EC9F184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455587</xdr:colOff>
      <xdr:row>151</xdr:row>
      <xdr:rowOff>99985</xdr:rowOff>
    </xdr:from>
    <xdr:to>
      <xdr:col>19</xdr:col>
      <xdr:colOff>624921</xdr:colOff>
      <xdr:row>194</xdr:row>
      <xdr:rowOff>60476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AC302590-59CC-94F5-1369-9A5FAA6E1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619335</xdr:colOff>
      <xdr:row>95</xdr:row>
      <xdr:rowOff>8453</xdr:rowOff>
    </xdr:from>
    <xdr:to>
      <xdr:col>21</xdr:col>
      <xdr:colOff>365335</xdr:colOff>
      <xdr:row>134</xdr:row>
      <xdr:rowOff>59253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AF2156-EA4F-3A4A-BCA3-EA93B54A0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915902</xdr:colOff>
      <xdr:row>25</xdr:row>
      <xdr:rowOff>33867</xdr:rowOff>
    </xdr:from>
    <xdr:to>
      <xdr:col>19</xdr:col>
      <xdr:colOff>729635</xdr:colOff>
      <xdr:row>64</xdr:row>
      <xdr:rowOff>84667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D73C36B-4A25-0340-AF98-54BB7CEC8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139700</xdr:colOff>
      <xdr:row>98</xdr:row>
      <xdr:rowOff>25400</xdr:rowOff>
    </xdr:from>
    <xdr:to>
      <xdr:col>49</xdr:col>
      <xdr:colOff>609600</xdr:colOff>
      <xdr:row>132</xdr:row>
      <xdr:rowOff>76200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56D05E0A-95B1-D656-BCA1-9592EB438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619335</xdr:colOff>
      <xdr:row>95</xdr:row>
      <xdr:rowOff>8453</xdr:rowOff>
    </xdr:from>
    <xdr:to>
      <xdr:col>21</xdr:col>
      <xdr:colOff>365335</xdr:colOff>
      <xdr:row>134</xdr:row>
      <xdr:rowOff>59253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C76372E-517C-6040-A0D5-0607BC023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915902</xdr:colOff>
      <xdr:row>25</xdr:row>
      <xdr:rowOff>33867</xdr:rowOff>
    </xdr:from>
    <xdr:to>
      <xdr:col>19</xdr:col>
      <xdr:colOff>729635</xdr:colOff>
      <xdr:row>64</xdr:row>
      <xdr:rowOff>84667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898CB4D-8A60-8149-9177-9AD81AF6A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139700</xdr:colOff>
      <xdr:row>98</xdr:row>
      <xdr:rowOff>25400</xdr:rowOff>
    </xdr:from>
    <xdr:to>
      <xdr:col>49</xdr:col>
      <xdr:colOff>609600</xdr:colOff>
      <xdr:row>132</xdr:row>
      <xdr:rowOff>76200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F029C9F-4F76-DD47-A2C7-EC2F4E1CA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1104503</xdr:colOff>
      <xdr:row>95</xdr:row>
      <xdr:rowOff>164492</xdr:rowOff>
    </xdr:from>
    <xdr:to>
      <xdr:col>18</xdr:col>
      <xdr:colOff>244751</xdr:colOff>
      <xdr:row>133</xdr:row>
      <xdr:rowOff>167571</xdr:rowOff>
    </xdr:to>
    <xdr:graphicFrame macro="">
      <xdr:nvGraphicFramePr>
        <xdr:cNvPr id="10" name="圖表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213614</xdr:colOff>
      <xdr:row>25</xdr:row>
      <xdr:rowOff>158494</xdr:rowOff>
    </xdr:from>
    <xdr:to>
      <xdr:col>19</xdr:col>
      <xdr:colOff>46590</xdr:colOff>
      <xdr:row>63</xdr:row>
      <xdr:rowOff>161573</xdr:rowOff>
    </xdr:to>
    <xdr:graphicFrame macro="">
      <xdr:nvGraphicFramePr>
        <xdr:cNvPr id="11" name="圖表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557954</xdr:colOff>
      <xdr:row>71</xdr:row>
      <xdr:rowOff>34349</xdr:rowOff>
    </xdr:from>
    <xdr:ext cx="13226118" cy="7248257"/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344EFA2-9F63-3445-AFC5-5DA855B1C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904181</xdr:colOff>
      <xdr:row>16</xdr:row>
      <xdr:rowOff>50800</xdr:rowOff>
    </xdr:from>
    <xdr:ext cx="9983952" cy="5774267"/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1F5F15D-9888-1749-9E80-06FF59C92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8E0E4-85B9-6B43-90F5-C9C8403135A0}">
  <sheetPr codeName="工作表1"/>
  <dimension ref="A1:X190"/>
  <sheetViews>
    <sheetView topLeftCell="A65" zoomScale="83" workbookViewId="0">
      <selection activeCell="C81" sqref="C81:C90"/>
    </sheetView>
  </sheetViews>
  <sheetFormatPr baseColWidth="10" defaultColWidth="8.83203125" defaultRowHeight="18"/>
  <cols>
    <col min="1" max="1" width="18.6640625" style="25" customWidth="1"/>
    <col min="2" max="3" width="27.83203125" style="28" customWidth="1"/>
    <col min="4" max="16384" width="8.83203125" style="25"/>
  </cols>
  <sheetData>
    <row r="1" spans="1:3">
      <c r="A1" s="55"/>
      <c r="B1" s="56"/>
      <c r="C1" s="56"/>
    </row>
    <row r="2" spans="1:3">
      <c r="A2" s="57" t="s">
        <v>97</v>
      </c>
      <c r="B2" s="54"/>
      <c r="C2" s="54"/>
    </row>
    <row r="3" spans="1:3">
      <c r="A3" s="57" t="s">
        <v>98</v>
      </c>
      <c r="B3" s="54"/>
      <c r="C3" s="54"/>
    </row>
    <row r="4" spans="1:3">
      <c r="A4" s="57" t="s">
        <v>99</v>
      </c>
      <c r="B4" s="54"/>
      <c r="C4" s="54"/>
    </row>
    <row r="5" spans="1:3">
      <c r="A5" s="57" t="s">
        <v>100</v>
      </c>
      <c r="B5" s="54"/>
      <c r="C5" s="54"/>
    </row>
    <row r="6" spans="1:3">
      <c r="A6" s="57" t="s">
        <v>101</v>
      </c>
      <c r="B6" s="54"/>
      <c r="C6" s="54"/>
    </row>
    <row r="7" spans="1:3">
      <c r="A7" s="57" t="s">
        <v>102</v>
      </c>
      <c r="B7" s="54"/>
      <c r="C7" s="54"/>
    </row>
    <row r="8" spans="1:3">
      <c r="A8" s="57" t="s">
        <v>103</v>
      </c>
      <c r="B8" s="54"/>
      <c r="C8" s="54"/>
    </row>
    <row r="9" spans="1:3">
      <c r="A9" s="57" t="s">
        <v>104</v>
      </c>
      <c r="B9" s="54"/>
      <c r="C9" s="54"/>
    </row>
    <row r="10" spans="1:3">
      <c r="A10" s="57" t="s">
        <v>105</v>
      </c>
      <c r="B10" s="54"/>
      <c r="C10" s="54"/>
    </row>
    <row r="11" spans="1:3">
      <c r="A11" s="57" t="s">
        <v>106</v>
      </c>
      <c r="B11" s="54"/>
      <c r="C11" s="54"/>
    </row>
    <row r="12" spans="1:3">
      <c r="A12" s="57" t="s">
        <v>107</v>
      </c>
      <c r="B12" s="58">
        <f>SUM(B2,B3)</f>
      </c>
      <c r="C12" s="58">
        <f>SUM(C2,C3)</f>
      </c>
    </row>
    <row r="13" spans="1:3" ht="21.5" customHeight="1">
      <c r="A13" s="59"/>
      <c r="B13" s="60"/>
      <c r="C13" s="60"/>
    </row>
    <row r="14" spans="1:3">
      <c r="A14" s="57"/>
      <c r="B14" s="61"/>
      <c r="C14" s="61"/>
    </row>
    <row r="15" spans="1:3">
      <c r="A15" s="57" t="s">
        <v>97</v>
      </c>
      <c r="B15" s="62"/>
      <c r="C15" s="62"/>
    </row>
    <row r="16" spans="1:3">
      <c r="A16" s="57" t="s">
        <v>98</v>
      </c>
      <c r="B16" s="62"/>
      <c r="C16" s="62"/>
    </row>
    <row r="17" spans="1:3">
      <c r="A17" s="57" t="s">
        <v>99</v>
      </c>
      <c r="B17" s="62"/>
      <c r="C17" s="62"/>
    </row>
    <row r="18" spans="1:3">
      <c r="A18" s="57" t="s">
        <v>100</v>
      </c>
      <c r="B18" s="62"/>
      <c r="C18" s="62"/>
    </row>
    <row r="19" spans="1:3">
      <c r="A19" s="57" t="s">
        <v>101</v>
      </c>
      <c r="B19" s="62"/>
      <c r="C19" s="62"/>
    </row>
    <row r="20" spans="1:3">
      <c r="A20" s="57" t="s">
        <v>102</v>
      </c>
      <c r="B20" s="62"/>
      <c r="C20" s="62"/>
    </row>
    <row r="21" spans="1:3">
      <c r="A21" s="57" t="s">
        <v>103</v>
      </c>
      <c r="B21" s="62"/>
      <c r="C21" s="62"/>
    </row>
    <row r="22" spans="1:3">
      <c r="A22" s="57" t="s">
        <v>104</v>
      </c>
      <c r="B22" s="62"/>
      <c r="C22" s="62"/>
    </row>
    <row r="23" spans="1:3">
      <c r="A23" s="57" t="s">
        <v>105</v>
      </c>
      <c r="B23" s="63"/>
      <c r="C23" s="63"/>
    </row>
    <row r="24" spans="1:3">
      <c r="A24" s="57" t="s">
        <v>106</v>
      </c>
      <c r="B24" s="63"/>
      <c r="C24" s="63"/>
    </row>
    <row r="27" spans="1:3" ht="19" thickBot="1">
      <c r="A27" s="64"/>
    </row>
    <row r="28" spans="1:3" ht="19">
      <c r="A28" s="94" t="s">
        <v>108</v>
      </c>
      <c r="B28" s="97"/>
      <c r="C28" s="98"/>
    </row>
    <row r="29" spans="1:3" ht="19">
      <c r="A29" s="95" t="s">
        <v>109</v>
      </c>
      <c r="B29" s="28"/>
      <c r="C29" s="91"/>
    </row>
    <row r="30" spans="1:3" ht="19">
      <c r="A30" s="95" t="s">
        <v>110</v>
      </c>
      <c r="B30" s="28"/>
      <c r="C30" s="91"/>
    </row>
    <row r="31" spans="1:3" ht="20" thickBot="1">
      <c r="A31" s="96" t="s">
        <v>111</v>
      </c>
      <c r="B31" s="92"/>
      <c r="C31" s="93"/>
    </row>
    <row r="32" spans="1:3" ht="19" thickBot="1">
      <c r="A32" s="77"/>
    </row>
    <row r="33" spans="1:3">
      <c r="A33" s="94"/>
      <c r="B33" s="99"/>
      <c r="C33" s="100"/>
    </row>
    <row r="34" spans="1:3" ht="19">
      <c r="A34" s="95" t="s">
        <v>109</v>
      </c>
      <c r="B34" s="28"/>
      <c r="C34" s="91"/>
    </row>
    <row r="35" spans="1:3" ht="19">
      <c r="A35" s="95" t="s">
        <v>110</v>
      </c>
      <c r="B35" s="28"/>
      <c r="C35" s="91"/>
    </row>
    <row r="36" spans="1:3" ht="20" thickBot="1">
      <c r="A36" s="96" t="s">
        <v>111</v>
      </c>
      <c r="B36" s="92"/>
      <c r="C36" s="93"/>
    </row>
    <row r="37" spans="1:3">
      <c r="A37" s="64"/>
    </row>
    <row r="38" spans="1:3">
      <c r="A38" s="64"/>
    </row>
    <row r="40" spans="1:3">
      <c r="A40" s="28"/>
    </row>
    <row r="41" spans="1:3">
      <c r="A41" s="63"/>
      <c r="B41" s="56"/>
      <c r="C41" s="56"/>
    </row>
    <row r="42" spans="1:3">
      <c r="A42" s="66" t="s">
        <v>112</v>
      </c>
      <c r="B42" s="63"/>
      <c r="C42" s="63"/>
    </row>
    <row r="43" spans="1:3">
      <c r="A43" s="66" t="s">
        <v>7</v>
      </c>
      <c r="B43" s="63"/>
      <c r="C43" s="63"/>
    </row>
    <row r="44" spans="1:3">
      <c r="A44" s="66" t="s">
        <v>113</v>
      </c>
      <c r="B44" s="63"/>
      <c r="C44" s="63"/>
    </row>
    <row r="45" spans="1:3" ht="19">
      <c r="A45" s="67" t="s">
        <v>114</v>
      </c>
      <c r="B45" s="63"/>
      <c r="C45" s="63"/>
    </row>
    <row r="46" spans="1:3" ht="19">
      <c r="A46" s="67" t="s">
        <v>115</v>
      </c>
      <c r="B46" s="63"/>
      <c r="C46" s="63"/>
    </row>
    <row r="47" spans="1:3" ht="19">
      <c r="A47" s="67" t="s">
        <v>116</v>
      </c>
      <c r="B47" s="63"/>
      <c r="C47" s="63"/>
    </row>
    <row r="48" spans="1:3">
      <c r="A48" s="66" t="s">
        <v>117</v>
      </c>
      <c r="B48" s="63"/>
      <c r="C48" s="63"/>
    </row>
    <row r="49" spans="1:3">
      <c r="A49" s="66" t="s">
        <v>118</v>
      </c>
      <c r="B49" s="63"/>
      <c r="C49" s="63"/>
    </row>
    <row r="50" spans="1:3">
      <c r="A50" s="66" t="s">
        <v>119</v>
      </c>
      <c r="B50" s="63"/>
      <c r="C50" s="63"/>
    </row>
    <row r="51" spans="1:3">
      <c r="A51" s="66" t="s">
        <v>120</v>
      </c>
      <c r="B51" s="63"/>
      <c r="C51" s="63"/>
    </row>
    <row r="53" spans="1:3" ht="58.25" customHeight="1">
      <c r="A53" s="28"/>
    </row>
    <row r="54" spans="1:3">
      <c r="A54" s="63"/>
      <c r="B54" s="56"/>
      <c r="C54" s="56"/>
    </row>
    <row r="55" spans="1:3">
      <c r="A55" s="66" t="s">
        <v>112</v>
      </c>
      <c r="B55" s="63"/>
      <c r="C55" s="63"/>
    </row>
    <row r="56" spans="1:3">
      <c r="A56" s="66" t="s">
        <v>7</v>
      </c>
      <c r="B56" s="63"/>
      <c r="C56" s="63"/>
    </row>
    <row r="57" spans="1:3">
      <c r="A57" s="66" t="s">
        <v>113</v>
      </c>
      <c r="B57" s="63"/>
      <c r="C57" s="63"/>
    </row>
    <row r="58" spans="1:3" ht="19">
      <c r="A58" s="67" t="s">
        <v>114</v>
      </c>
      <c r="B58" s="63"/>
      <c r="C58" s="63"/>
    </row>
    <row r="59" spans="1:3" ht="19">
      <c r="A59" s="67" t="s">
        <v>115</v>
      </c>
      <c r="B59" s="63"/>
      <c r="C59" s="63"/>
    </row>
    <row r="60" spans="1:3" ht="19">
      <c r="A60" s="67" t="s">
        <v>116</v>
      </c>
      <c r="B60" s="63"/>
      <c r="C60" s="63"/>
    </row>
    <row r="61" spans="1:3">
      <c r="A61" s="66" t="s">
        <v>117</v>
      </c>
      <c r="B61" s="63"/>
      <c r="C61" s="63"/>
    </row>
    <row r="62" spans="1:3">
      <c r="A62" s="66" t="s">
        <v>118</v>
      </c>
      <c r="B62" s="63"/>
      <c r="C62" s="63"/>
    </row>
    <row r="63" spans="1:3">
      <c r="A63" s="66" t="s">
        <v>119</v>
      </c>
      <c r="B63" s="63"/>
      <c r="C63" s="63"/>
    </row>
    <row r="64" spans="1:3">
      <c r="A64" s="66" t="s">
        <v>120</v>
      </c>
      <c r="B64" s="63"/>
      <c r="C64" s="63"/>
    </row>
    <row r="68" spans="1:3">
      <c r="A68" s="81" t="s">
        <v>121</v>
      </c>
      <c r="B68" s="56"/>
      <c r="C68" s="56"/>
    </row>
    <row r="69" spans="1:3" ht="38">
      <c r="A69" s="82" t="s">
        <v>3</v>
      </c>
      <c r="B69" s="83"/>
      <c r="C69" s="83"/>
    </row>
    <row r="70" spans="1:3" ht="38">
      <c r="A70" s="82" t="s">
        <v>5</v>
      </c>
      <c r="B70" s="83"/>
      <c r="C70" s="83"/>
    </row>
    <row r="71" spans="1:3">
      <c r="A71" s="84" t="s">
        <v>7</v>
      </c>
      <c r="B71" s="83"/>
      <c r="C71" s="83"/>
    </row>
    <row r="72" spans="1:3" ht="38">
      <c r="A72" s="82" t="s">
        <v>9</v>
      </c>
      <c r="B72" s="83"/>
      <c r="C72" s="83"/>
    </row>
    <row r="73" spans="1:3" ht="38">
      <c r="A73" s="82" t="s">
        <v>11</v>
      </c>
      <c r="B73" s="83"/>
      <c r="C73" s="83"/>
    </row>
    <row r="74" spans="1:3" ht="38">
      <c r="A74" s="82" t="s">
        <v>13</v>
      </c>
      <c r="B74" s="83"/>
      <c r="C74" s="83"/>
    </row>
    <row r="75" spans="1:3" ht="38">
      <c r="A75" s="82" t="s">
        <v>15</v>
      </c>
      <c r="B75" s="63"/>
      <c r="C75" s="63"/>
    </row>
    <row r="76" spans="1:3" ht="38">
      <c r="A76" s="82" t="s">
        <v>17</v>
      </c>
      <c r="B76" s="85"/>
      <c r="C76" s="85"/>
    </row>
    <row r="77" spans="1:3" ht="38">
      <c r="A77" s="86" t="s">
        <v>19</v>
      </c>
      <c r="B77" s="83"/>
      <c r="C77" s="83"/>
    </row>
    <row r="78" spans="1:3" ht="38">
      <c r="A78" s="86" t="s">
        <v>21</v>
      </c>
      <c r="B78" s="83"/>
      <c r="C78" s="83"/>
    </row>
    <row r="79" spans="1:3">
      <c r="A79" s="87"/>
      <c r="B79" s="88"/>
      <c r="C79" s="88"/>
    </row>
    <row r="80" spans="1:3">
      <c r="A80" s="84"/>
      <c r="B80" s="89"/>
      <c r="C80" s="89"/>
    </row>
    <row r="81" spans="1:24">
      <c r="A81" s="84" t="s">
        <v>122</v>
      </c>
      <c r="B81" s="83"/>
      <c r="C81" s="83"/>
    </row>
    <row r="82" spans="1:24">
      <c r="A82" s="84" t="s">
        <v>123</v>
      </c>
      <c r="B82" s="83"/>
      <c r="C82" s="83"/>
    </row>
    <row r="83" spans="1:24">
      <c r="A83" s="84" t="s">
        <v>7</v>
      </c>
      <c r="B83" s="83"/>
      <c r="C83" s="83"/>
      <c r="X83" s="86"/>
    </row>
    <row r="84" spans="1:24">
      <c r="A84" s="84" t="s">
        <v>124</v>
      </c>
      <c r="B84" s="83"/>
      <c r="C84" s="83"/>
      <c r="X84" s="86"/>
    </row>
    <row r="85" spans="1:24">
      <c r="A85" s="84" t="s">
        <v>113</v>
      </c>
      <c r="B85" s="83"/>
      <c r="C85" s="83"/>
    </row>
    <row r="86" spans="1:24">
      <c r="A86" s="84" t="s">
        <v>125</v>
      </c>
      <c r="B86" s="83"/>
      <c r="C86" s="83"/>
    </row>
    <row r="87" spans="1:24" ht="38">
      <c r="A87" s="82" t="s">
        <v>15</v>
      </c>
      <c r="B87" s="63"/>
      <c r="C87" s="63"/>
    </row>
    <row r="88" spans="1:24" ht="38">
      <c r="A88" s="82" t="s">
        <v>17</v>
      </c>
      <c r="B88" s="85"/>
      <c r="C88" s="85"/>
    </row>
    <row r="89" spans="1:24" ht="38">
      <c r="A89" s="86" t="s">
        <v>19</v>
      </c>
      <c r="B89" s="83"/>
      <c r="C89" s="83"/>
    </row>
    <row r="90" spans="1:24" ht="38">
      <c r="A90" s="86" t="s">
        <v>21</v>
      </c>
      <c r="B90" s="83"/>
      <c r="C90" s="83"/>
    </row>
    <row r="93" spans="1:24" ht="19">
      <c r="A93" s="68" t="s">
        <v>126</v>
      </c>
      <c r="B93" s="56"/>
      <c r="C93" s="56"/>
    </row>
    <row r="94" spans="1:24" ht="19">
      <c r="A94" s="69" t="s">
        <v>127</v>
      </c>
      <c r="B94" s="63"/>
      <c r="C94" s="63"/>
    </row>
    <row r="95" spans="1:24" ht="19">
      <c r="A95" s="69" t="s">
        <v>128</v>
      </c>
      <c r="B95" s="63"/>
      <c r="C95" s="63"/>
    </row>
    <row r="96" spans="1:24" ht="19">
      <c r="A96" s="69" t="s">
        <v>129</v>
      </c>
      <c r="B96" s="63"/>
      <c r="C96" s="63"/>
    </row>
    <row r="97" spans="1:3" ht="19">
      <c r="A97" s="69" t="s">
        <v>130</v>
      </c>
      <c r="B97" s="63"/>
      <c r="C97" s="63"/>
    </row>
    <row r="98" spans="1:3" ht="19">
      <c r="A98" s="69" t="s">
        <v>131</v>
      </c>
      <c r="B98" s="63"/>
      <c r="C98" s="63"/>
    </row>
    <row r="99" spans="1:3">
      <c r="A99" s="70"/>
    </row>
    <row r="100" spans="1:3">
      <c r="A100" s="68"/>
      <c r="B100" s="56"/>
      <c r="C100" s="56"/>
    </row>
    <row r="101" spans="1:3" ht="19">
      <c r="A101" s="69" t="s">
        <v>127</v>
      </c>
      <c r="B101" s="63"/>
      <c r="C101" s="63"/>
    </row>
    <row r="102" spans="1:3" ht="19">
      <c r="A102" s="69" t="s">
        <v>128</v>
      </c>
      <c r="B102" s="63"/>
      <c r="C102" s="63"/>
    </row>
    <row r="103" spans="1:3" ht="19">
      <c r="A103" s="69" t="s">
        <v>129</v>
      </c>
      <c r="B103" s="63"/>
      <c r="C103" s="63"/>
    </row>
    <row r="104" spans="1:3" ht="19">
      <c r="A104" s="69" t="s">
        <v>130</v>
      </c>
      <c r="B104" s="63"/>
      <c r="C104" s="63"/>
    </row>
    <row r="105" spans="1:3" ht="19">
      <c r="A105" s="69" t="s">
        <v>131</v>
      </c>
      <c r="B105" s="63"/>
      <c r="C105" s="63"/>
    </row>
    <row r="106" spans="1:3">
      <c r="A106" s="64"/>
    </row>
    <row r="107" spans="1:3">
      <c r="A107" s="65"/>
    </row>
    <row r="108" spans="1:3">
      <c r="A108" s="65"/>
    </row>
    <row r="109" spans="1:3">
      <c r="A109" s="65"/>
    </row>
    <row r="110" spans="1:3">
      <c r="A110" s="64"/>
    </row>
    <row r="111" spans="1:3">
      <c r="A111" s="64"/>
    </row>
    <row r="113" spans="1:3">
      <c r="A113" s="28"/>
    </row>
    <row r="114" spans="1:3">
      <c r="A114" s="28"/>
    </row>
    <row r="115" spans="1:3">
      <c r="A115" s="63"/>
      <c r="B115" s="56"/>
      <c r="C115" s="56"/>
    </row>
    <row r="116" spans="1:3" ht="19">
      <c r="A116" s="71" t="s">
        <v>132</v>
      </c>
      <c r="B116" s="63"/>
      <c r="C116" s="63"/>
    </row>
    <row r="117" spans="1:3">
      <c r="A117" s="72" t="s">
        <v>133</v>
      </c>
      <c r="B117" s="63"/>
      <c r="C117" s="63"/>
    </row>
    <row r="118" spans="1:3">
      <c r="A118" s="72" t="s">
        <v>28</v>
      </c>
      <c r="B118" s="63"/>
      <c r="C118" s="63"/>
    </row>
    <row r="119" spans="1:3" ht="19">
      <c r="A119" s="71" t="s">
        <v>134</v>
      </c>
      <c r="B119" s="63"/>
      <c r="C119" s="63"/>
    </row>
    <row r="120" spans="1:3" ht="19">
      <c r="A120" s="67" t="s">
        <v>135</v>
      </c>
      <c r="B120" s="63"/>
      <c r="C120" s="63"/>
    </row>
    <row r="121" spans="1:3" ht="19">
      <c r="A121" s="71" t="s">
        <v>136</v>
      </c>
      <c r="B121" s="63"/>
      <c r="C121" s="63"/>
    </row>
    <row r="122" spans="1:3" ht="19">
      <c r="A122" s="71" t="s">
        <v>137</v>
      </c>
      <c r="B122" s="63"/>
      <c r="C122" s="63"/>
    </row>
    <row r="123" spans="1:3">
      <c r="A123" s="72" t="s">
        <v>138</v>
      </c>
      <c r="B123" s="63"/>
      <c r="C123" s="63"/>
    </row>
    <row r="124" spans="1:3" ht="19">
      <c r="A124" s="71" t="s">
        <v>139</v>
      </c>
      <c r="B124" s="63"/>
      <c r="C124" s="63"/>
    </row>
    <row r="125" spans="1:3">
      <c r="A125" s="72" t="s">
        <v>140</v>
      </c>
      <c r="B125" s="63"/>
      <c r="C125" s="63"/>
    </row>
    <row r="126" spans="1:3" s="27" customFormat="1" ht="60.5" customHeight="1">
      <c r="A126" s="73"/>
      <c r="B126" s="74"/>
      <c r="C126" s="74"/>
    </row>
    <row r="127" spans="1:3">
      <c r="A127" s="72"/>
      <c r="B127" s="56"/>
      <c r="C127" s="56"/>
    </row>
    <row r="128" spans="1:3" ht="19">
      <c r="A128" s="71" t="s">
        <v>132</v>
      </c>
      <c r="B128" s="63"/>
      <c r="C128" s="63"/>
    </row>
    <row r="129" spans="1:3">
      <c r="A129" s="72" t="s">
        <v>133</v>
      </c>
      <c r="B129" s="63"/>
      <c r="C129" s="63"/>
    </row>
    <row r="130" spans="1:3">
      <c r="A130" s="72" t="s">
        <v>28</v>
      </c>
      <c r="B130" s="63"/>
      <c r="C130" s="63"/>
    </row>
    <row r="131" spans="1:3" ht="19">
      <c r="A131" s="71" t="s">
        <v>134</v>
      </c>
      <c r="B131" s="75"/>
      <c r="C131" s="75"/>
    </row>
    <row r="132" spans="1:3" ht="19">
      <c r="A132" s="67" t="s">
        <v>135</v>
      </c>
      <c r="B132" s="75"/>
      <c r="C132" s="75"/>
    </row>
    <row r="133" spans="1:3" ht="19">
      <c r="A133" s="71" t="s">
        <v>136</v>
      </c>
      <c r="B133" s="75"/>
      <c r="C133" s="75"/>
    </row>
    <row r="134" spans="1:3" ht="19">
      <c r="A134" s="71" t="s">
        <v>137</v>
      </c>
      <c r="B134" s="75"/>
      <c r="C134" s="75"/>
    </row>
    <row r="135" spans="1:3">
      <c r="A135" s="72" t="s">
        <v>138</v>
      </c>
      <c r="B135" s="75"/>
      <c r="C135" s="75"/>
    </row>
    <row r="136" spans="1:3" ht="19">
      <c r="A136" s="71" t="s">
        <v>139</v>
      </c>
      <c r="B136" s="75"/>
      <c r="C136" s="75"/>
    </row>
    <row r="137" spans="1:3">
      <c r="A137" s="72" t="s">
        <v>140</v>
      </c>
      <c r="B137" s="75"/>
      <c r="C137" s="75"/>
    </row>
    <row r="139" spans="1:3">
      <c r="A139" s="64"/>
    </row>
    <row r="140" spans="1:3" ht="19">
      <c r="A140" s="68" t="s">
        <v>141</v>
      </c>
      <c r="B140" s="56"/>
      <c r="C140" s="56"/>
    </row>
    <row r="141" spans="1:3" ht="19">
      <c r="A141" s="76" t="s">
        <v>142</v>
      </c>
      <c r="B141" s="63"/>
      <c r="C141" s="63"/>
    </row>
    <row r="142" spans="1:3" ht="19">
      <c r="A142" s="76" t="s">
        <v>143</v>
      </c>
      <c r="B142" s="63"/>
      <c r="C142" s="63"/>
    </row>
    <row r="143" spans="1:3" ht="19">
      <c r="A143" s="76" t="s">
        <v>144</v>
      </c>
      <c r="B143" s="63"/>
      <c r="C143" s="63"/>
    </row>
    <row r="144" spans="1:3" ht="19">
      <c r="A144" s="76" t="s">
        <v>128</v>
      </c>
      <c r="B144" s="63"/>
      <c r="C144" s="63"/>
    </row>
    <row r="145" spans="1:6" ht="19">
      <c r="A145" s="76" t="s">
        <v>129</v>
      </c>
      <c r="B145" s="63"/>
      <c r="C145" s="63"/>
    </row>
    <row r="146" spans="1:6" ht="19">
      <c r="A146" s="76" t="s">
        <v>145</v>
      </c>
      <c r="B146" s="63"/>
      <c r="C146" s="63"/>
    </row>
    <row r="147" spans="1:6">
      <c r="A147" s="77"/>
    </row>
    <row r="148" spans="1:6">
      <c r="A148" s="78"/>
      <c r="B148" s="56"/>
      <c r="C148" s="56"/>
    </row>
    <row r="149" spans="1:6" ht="19">
      <c r="A149" s="69" t="s">
        <v>142</v>
      </c>
      <c r="B149" s="63"/>
      <c r="C149" s="63"/>
    </row>
    <row r="150" spans="1:6" ht="19">
      <c r="A150" s="69" t="s">
        <v>143</v>
      </c>
      <c r="B150" s="63"/>
      <c r="C150" s="63"/>
    </row>
    <row r="151" spans="1:6" ht="19">
      <c r="A151" s="69" t="s">
        <v>144</v>
      </c>
      <c r="B151" s="63"/>
      <c r="C151" s="63"/>
    </row>
    <row r="152" spans="1:6" ht="19">
      <c r="A152" s="69" t="s">
        <v>128</v>
      </c>
      <c r="B152" s="63"/>
      <c r="C152" s="63"/>
    </row>
    <row r="153" spans="1:6" ht="19">
      <c r="A153" s="69" t="s">
        <v>129</v>
      </c>
      <c r="B153" s="63"/>
      <c r="C153" s="63"/>
    </row>
    <row r="154" spans="1:6" ht="19">
      <c r="A154" s="69" t="s">
        <v>145</v>
      </c>
      <c r="B154" s="63"/>
      <c r="C154" s="63"/>
    </row>
    <row r="155" spans="1:6">
      <c r="A155" s="70"/>
    </row>
    <row r="156" spans="1:6">
      <c r="A156" s="64"/>
    </row>
    <row r="158" spans="1:6">
      <c r="A158" s="28"/>
    </row>
    <row r="159" spans="1:6">
      <c r="A159" s="28"/>
    </row>
    <row r="160" spans="1:6">
      <c r="A160" s="28"/>
      <c r="F160" s="25"/>
    </row>
    <row r="161" spans="1:3" ht="40" customHeight="1">
      <c r="A161" s="63"/>
      <c r="B161" s="56"/>
      <c r="C161" s="56"/>
    </row>
    <row r="162" spans="1:3" ht="40" customHeight="1">
      <c r="A162" s="90" t="s">
        <v>146</v>
      </c>
      <c r="B162" s="63"/>
      <c r="C162" s="63"/>
    </row>
    <row r="163" spans="1:3" ht="40" customHeight="1">
      <c r="A163" s="90" t="s">
        <v>147</v>
      </c>
      <c r="B163" s="63"/>
      <c r="C163" s="63"/>
    </row>
    <row r="164" spans="1:3" ht="40" customHeight="1">
      <c r="A164" s="90" t="s">
        <v>148</v>
      </c>
      <c r="B164" s="63"/>
      <c r="C164" s="63"/>
    </row>
    <row r="165" spans="1:3" ht="40" customHeight="1">
      <c r="A165" s="79" t="s">
        <v>149</v>
      </c>
      <c r="B165" s="63"/>
      <c r="C165" s="63"/>
    </row>
    <row r="166" spans="1:3" ht="40" customHeight="1">
      <c r="A166" s="79" t="s">
        <v>150</v>
      </c>
      <c r="B166" s="63"/>
      <c r="C166" s="63"/>
    </row>
    <row r="167" spans="1:3" ht="40" customHeight="1">
      <c r="A167" s="80"/>
    </row>
    <row r="168" spans="1:3" ht="40" customHeight="1">
      <c r="A168" s="55"/>
      <c r="B168" s="56"/>
      <c r="C168" s="56"/>
    </row>
    <row r="169" spans="1:3" ht="40" customHeight="1">
      <c r="A169" s="90" t="s">
        <v>146</v>
      </c>
      <c r="B169" s="63"/>
      <c r="C169" s="63"/>
    </row>
    <row r="170" spans="1:3" ht="40" customHeight="1">
      <c r="A170" s="90" t="s">
        <v>147</v>
      </c>
      <c r="B170" s="63"/>
      <c r="C170" s="63"/>
    </row>
    <row r="171" spans="1:3" ht="40" customHeight="1">
      <c r="A171" s="90" t="s">
        <v>148</v>
      </c>
      <c r="B171" s="63"/>
      <c r="C171" s="63"/>
    </row>
    <row r="172" spans="1:3" ht="40" customHeight="1">
      <c r="A172" s="79" t="s">
        <v>149</v>
      </c>
      <c r="B172" s="63"/>
      <c r="C172" s="63"/>
    </row>
    <row r="173" spans="1:3" ht="40" customHeight="1">
      <c r="A173" s="79" t="s">
        <v>150</v>
      </c>
      <c r="B173" s="63"/>
      <c r="C173" s="63"/>
    </row>
    <row r="179" spans="1:1">
      <c r="A179" s="64"/>
    </row>
    <row r="180" spans="1:1">
      <c r="A180" s="64"/>
    </row>
    <row r="181" spans="1:1">
      <c r="A181" s="65"/>
    </row>
    <row r="182" spans="1:1">
      <c r="A182" s="65"/>
    </row>
    <row r="183" spans="1:1">
      <c r="A183" s="65"/>
    </row>
    <row r="184" spans="1:1">
      <c r="A184" s="64"/>
    </row>
    <row r="185" spans="1:1">
      <c r="A185" s="64"/>
    </row>
    <row r="186" spans="1:1">
      <c r="A186" s="65"/>
    </row>
    <row r="187" spans="1:1">
      <c r="A187" s="65"/>
    </row>
    <row r="188" spans="1:1">
      <c r="A188" s="65"/>
    </row>
    <row r="189" spans="1:1">
      <c r="A189" s="64"/>
    </row>
    <row r="190" spans="1:1">
      <c r="A190" s="64"/>
    </row>
  </sheetData>
  <phoneticPr fontId="1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3ED4-7AC8-AB48-A318-6D703D216B32}">
  <sheetPr codeName="工作表2"/>
  <dimension ref="A1:AMT155"/>
  <sheetViews>
    <sheetView topLeftCell="A130" zoomScale="75" zoomScaleNormal="87" workbookViewId="0">
      <selection activeCell="Y9" sqref="Y9"/>
    </sheetView>
  </sheetViews>
  <sheetFormatPr baseColWidth="10" defaultColWidth="8.83203125" defaultRowHeight="15"/>
  <cols>
    <col min="1" max="1" width="9.33203125" style="1" customWidth="1"/>
    <col min="2" max="2" width="15" style="1" customWidth="1"/>
    <col min="3" max="6" width="9.1640625" style="1" customWidth="1"/>
    <col min="7" max="9" width="11" style="1" customWidth="1"/>
    <col min="10" max="10" width="13.33203125" style="1" customWidth="1"/>
    <col min="11" max="12" width="11" style="1" customWidth="1"/>
    <col min="13" max="19" width="11" customWidth="1"/>
    <col min="20" max="20" width="11.83203125" customWidth="1"/>
    <col min="21" max="21" width="12.33203125" customWidth="1"/>
    <col min="22" max="22" width="11" customWidth="1"/>
    <col min="23" max="1034" width="11" style="1" customWidth="1"/>
  </cols>
  <sheetData>
    <row r="1" spans="1:26">
      <c r="A1" s="33" t="s">
        <v>0</v>
      </c>
      <c r="B1" s="33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53"/>
      <c r="U1" s="53"/>
      <c r="V1" s="53"/>
      <c r="W1" s="37"/>
      <c r="X1" s="43"/>
      <c r="Y1" s="43"/>
      <c r="Z1" s="43"/>
    </row>
    <row r="2" spans="1:26" s="1" customFormat="1" ht="18">
      <c r="A2" s="33" t="s">
        <v>73</v>
      </c>
      <c r="B2" s="33" t="s">
        <v>74</v>
      </c>
      <c r="C2" s="30"/>
      <c r="D2" s="30"/>
      <c r="E2" s="30"/>
      <c r="F2" s="30"/>
      <c r="G2" s="30"/>
      <c r="H2" s="31"/>
      <c r="I2" s="30"/>
      <c r="J2" s="30"/>
      <c r="K2" s="30"/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54"/>
      <c r="X2" s="31"/>
      <c r="Y2" s="31"/>
      <c r="Z2" s="31"/>
    </row>
    <row r="3" spans="1:26" s="1" customFormat="1" ht="18">
      <c r="A3" s="33" t="s">
        <v>75</v>
      </c>
      <c r="B3" s="33" t="s">
        <v>76</v>
      </c>
      <c r="C3" s="30"/>
      <c r="D3" s="30"/>
      <c r="E3" s="30"/>
      <c r="F3" s="30"/>
      <c r="G3" s="30"/>
      <c r="H3" s="31"/>
      <c r="I3" s="30"/>
      <c r="J3" s="30"/>
      <c r="K3" s="30"/>
      <c r="L3" s="30"/>
      <c r="M3" s="31"/>
      <c r="N3" s="31"/>
      <c r="O3" s="31"/>
      <c r="P3" s="31"/>
      <c r="Q3" s="31"/>
      <c r="R3" s="31"/>
      <c r="S3" s="31"/>
      <c r="T3" s="31"/>
      <c r="U3" s="31"/>
      <c r="V3" s="31"/>
      <c r="W3" s="54"/>
      <c r="X3" s="31"/>
      <c r="Y3" s="31"/>
      <c r="Z3" s="31"/>
    </row>
    <row r="4" spans="1:26" s="1" customFormat="1" ht="18">
      <c r="A4" s="33" t="s">
        <v>77</v>
      </c>
      <c r="B4" s="33" t="s">
        <v>78</v>
      </c>
      <c r="C4" s="30"/>
      <c r="D4" s="30"/>
      <c r="E4" s="30"/>
      <c r="F4" s="30"/>
      <c r="G4" s="30"/>
      <c r="H4" s="31"/>
      <c r="I4" s="30"/>
      <c r="J4" s="30"/>
      <c r="K4" s="30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54"/>
      <c r="X4" s="31"/>
      <c r="Y4" s="31"/>
      <c r="Z4" s="31"/>
    </row>
    <row r="5" spans="1:26" s="1" customFormat="1" ht="18">
      <c r="A5" s="33" t="s">
        <v>79</v>
      </c>
      <c r="B5" s="33" t="s">
        <v>80</v>
      </c>
      <c r="C5" s="30"/>
      <c r="D5" s="30"/>
      <c r="E5" s="30"/>
      <c r="F5" s="30"/>
      <c r="G5" s="30"/>
      <c r="H5" s="31"/>
      <c r="I5" s="30"/>
      <c r="J5" s="30"/>
      <c r="K5" s="30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54"/>
      <c r="X5" s="31"/>
      <c r="Y5" s="31"/>
      <c r="Z5" s="31"/>
    </row>
    <row r="6" spans="1:26" s="1" customFormat="1" ht="18">
      <c r="A6" s="33" t="s">
        <v>81</v>
      </c>
      <c r="B6" s="33" t="s">
        <v>82</v>
      </c>
      <c r="C6" s="30"/>
      <c r="D6" s="30"/>
      <c r="E6" s="30"/>
      <c r="F6" s="30"/>
      <c r="G6" s="30"/>
      <c r="H6" s="31"/>
      <c r="I6" s="30"/>
      <c r="J6" s="30"/>
      <c r="K6" s="30"/>
      <c r="L6" s="30"/>
      <c r="M6" s="31"/>
      <c r="N6" s="31"/>
      <c r="O6" s="31"/>
      <c r="P6" s="31"/>
      <c r="Q6" s="31"/>
      <c r="R6" s="31"/>
      <c r="S6" s="31"/>
      <c r="T6" s="31"/>
      <c r="U6" s="31"/>
      <c r="V6" s="31"/>
      <c r="W6" s="54"/>
      <c r="X6" s="31"/>
      <c r="Y6" s="31"/>
      <c r="Z6" s="31"/>
    </row>
    <row r="7" spans="1:26" s="1" customFormat="1" ht="18">
      <c r="A7" s="33" t="s">
        <v>83</v>
      </c>
      <c r="B7" s="33" t="s">
        <v>84</v>
      </c>
      <c r="C7" s="30"/>
      <c r="D7" s="30"/>
      <c r="E7" s="30"/>
      <c r="F7" s="30"/>
      <c r="G7" s="30"/>
      <c r="H7" s="31"/>
      <c r="I7" s="30"/>
      <c r="J7" s="30"/>
      <c r="K7" s="30"/>
      <c r="L7" s="30"/>
      <c r="M7" s="31"/>
      <c r="N7" s="31"/>
      <c r="O7" s="31"/>
      <c r="P7" s="31"/>
      <c r="Q7" s="31"/>
      <c r="R7" s="31"/>
      <c r="S7" s="31"/>
      <c r="T7" s="31"/>
      <c r="U7" s="31"/>
      <c r="V7" s="31"/>
      <c r="W7" s="54"/>
      <c r="X7" s="31"/>
      <c r="Y7" s="31"/>
      <c r="Z7" s="31"/>
    </row>
    <row r="8" spans="1:26" s="1" customFormat="1" ht="18">
      <c r="A8" s="33" t="s">
        <v>85</v>
      </c>
      <c r="B8" s="33" t="s">
        <v>86</v>
      </c>
      <c r="C8" s="30"/>
      <c r="D8" s="30"/>
      <c r="E8" s="30"/>
      <c r="F8" s="30"/>
      <c r="G8" s="30"/>
      <c r="H8" s="31"/>
      <c r="I8" s="30"/>
      <c r="J8" s="30"/>
      <c r="K8" s="30"/>
      <c r="L8" s="30"/>
      <c r="M8" s="31"/>
      <c r="N8" s="31"/>
      <c r="O8" s="31"/>
      <c r="P8" s="31"/>
      <c r="Q8" s="31"/>
      <c r="R8" s="31"/>
      <c r="S8" s="31"/>
      <c r="T8" s="31"/>
      <c r="U8" s="31"/>
      <c r="V8" s="31"/>
      <c r="W8" s="54"/>
      <c r="X8" s="31"/>
      <c r="Y8" s="31"/>
      <c r="Z8" s="31"/>
    </row>
    <row r="9" spans="1:26" s="1" customFormat="1" ht="18">
      <c r="A9" s="33" t="s">
        <v>87</v>
      </c>
      <c r="B9" s="33" t="s">
        <v>88</v>
      </c>
      <c r="C9" s="30"/>
      <c r="D9" s="30"/>
      <c r="E9" s="30"/>
      <c r="F9" s="30"/>
      <c r="G9" s="30"/>
      <c r="H9" s="31"/>
      <c r="I9" s="30"/>
      <c r="J9" s="30"/>
      <c r="K9" s="30"/>
      <c r="L9" s="30"/>
      <c r="M9" s="31"/>
      <c r="N9" s="31"/>
      <c r="O9" s="31"/>
      <c r="P9" s="31"/>
      <c r="Q9" s="31"/>
      <c r="R9" s="31"/>
      <c r="S9" s="31"/>
      <c r="T9" s="31"/>
      <c r="U9" s="31"/>
      <c r="V9" s="31"/>
      <c r="W9" s="54"/>
      <c r="X9" s="31"/>
      <c r="Y9" s="31"/>
      <c r="Z9" s="31"/>
    </row>
    <row r="10" spans="1:26" s="1" customFormat="1" ht="18">
      <c r="A10" s="33" t="s">
        <v>89</v>
      </c>
      <c r="B10" s="33" t="s">
        <v>90</v>
      </c>
      <c r="C10" s="30"/>
      <c r="D10" s="30"/>
      <c r="E10" s="30"/>
      <c r="F10" s="30"/>
      <c r="G10" s="30"/>
      <c r="H10" s="31"/>
      <c r="I10" s="30"/>
      <c r="J10" s="30"/>
      <c r="K10" s="30"/>
      <c r="L10" s="3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54"/>
      <c r="X10" s="31"/>
      <c r="Y10" s="31"/>
      <c r="Z10" s="31"/>
    </row>
    <row r="11" spans="1:26" ht="18">
      <c r="A11" s="33" t="s">
        <v>91</v>
      </c>
      <c r="B11" s="33" t="s">
        <v>92</v>
      </c>
      <c r="C11" s="30"/>
      <c r="D11" s="30"/>
      <c r="E11" s="30"/>
      <c r="F11" s="30"/>
      <c r="G11" s="30"/>
      <c r="H11" s="31"/>
      <c r="I11" s="30"/>
      <c r="J11" s="30"/>
      <c r="K11" s="30"/>
      <c r="L11" s="30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54"/>
      <c r="X11" s="31"/>
      <c r="Y11" s="31"/>
      <c r="Z11" s="31"/>
    </row>
    <row r="12" spans="1:26" s="1" customFormat="1">
      <c r="A12" s="33"/>
      <c r="B12" s="33" t="s">
        <v>93</v>
      </c>
      <c r="C12" s="30">
        <f>C2+C3</f>
      </c>
      <c r="D12" s="30">
        <f>D2+D3</f>
      </c>
      <c r="E12" s="30">
        <f>E2+E3</f>
      </c>
      <c r="F12" s="30">
        <f>F2+F3</f>
      </c>
      <c r="G12" s="30">
        <f>G2+G3</f>
      </c>
      <c r="H12" s="30">
        <f>H2+H3</f>
      </c>
      <c r="I12" s="30">
        <f>I2+I3</f>
      </c>
      <c r="J12" s="30">
        <f>J2+J3</f>
      </c>
      <c r="K12" s="30">
        <f>K2+K3</f>
      </c>
      <c r="L12" s="30">
        <f>L2+L3</f>
      </c>
      <c r="M12" s="30">
        <f>M2+M3</f>
      </c>
      <c r="N12" s="30">
        <f>N2+N3</f>
      </c>
      <c r="O12" s="30">
        <f>O2+O3</f>
      </c>
      <c r="P12" s="30">
        <f>P2+P3</f>
      </c>
      <c r="Q12" s="30">
        <f>Q2+Q3</f>
      </c>
      <c r="R12" s="30">
        <f>R2+R3</f>
      </c>
      <c r="S12" s="30">
        <f>S2+S3</f>
      </c>
      <c r="T12" s="30">
        <f>T2+T3</f>
      </c>
      <c r="U12" s="30">
        <f>U2+U3</f>
      </c>
      <c r="V12" s="30">
        <f>V2+V3</f>
      </c>
      <c r="W12" s="30">
        <f>W2+W3</f>
      </c>
      <c r="X12" s="30">
        <f>X2+X3</f>
      </c>
      <c r="Y12" s="30">
        <f>Y2+Y3</f>
      </c>
      <c r="Z12" s="30">
        <f>Z2+Z3</f>
      </c>
    </row>
    <row r="13" spans="1:26" s="1" customFormat="1">
      <c r="A13" s="35" t="s">
        <v>94</v>
      </c>
      <c r="B13" s="3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1" customFormat="1">
      <c r="A14" s="35" t="s">
        <v>95</v>
      </c>
      <c r="B14" s="3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1" customFormat="1">
      <c r="A15" s="35" t="s">
        <v>96</v>
      </c>
      <c r="B15" s="35" t="s">
        <v>53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>
      <c r="A16" s="35"/>
      <c r="B16" s="3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>
      <c r="A17" s="44" t="s">
        <v>0</v>
      </c>
      <c r="B17" s="33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s="1" customFormat="1">
      <c r="A18" s="33" t="s">
        <v>73</v>
      </c>
      <c r="B18" s="33" t="s">
        <v>74</v>
      </c>
      <c r="C18" s="31"/>
      <c r="D18" s="32"/>
      <c r="E18" s="31"/>
      <c r="F18" s="32"/>
      <c r="G18" s="31"/>
      <c r="H18" s="32"/>
      <c r="I18" s="32"/>
      <c r="J18" s="32"/>
      <c r="K18" s="32"/>
      <c r="L18" s="32"/>
      <c r="M18" s="29"/>
      <c r="N18" s="29"/>
      <c r="O18" s="29"/>
      <c r="P18" s="29"/>
      <c r="Q18" s="29"/>
      <c r="R18" s="29"/>
      <c r="S18" s="29"/>
      <c r="T18" s="31"/>
      <c r="U18" s="31"/>
      <c r="V18" s="31"/>
      <c r="W18" s="31"/>
      <c r="X18" s="31"/>
      <c r="Y18" s="31"/>
      <c r="Z18" s="31"/>
    </row>
    <row r="19" spans="1:26" s="1" customFormat="1">
      <c r="A19" s="33" t="s">
        <v>75</v>
      </c>
      <c r="B19" s="33" t="s">
        <v>76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29"/>
      <c r="N19" s="29"/>
      <c r="O19" s="29"/>
      <c r="P19" s="29"/>
      <c r="Q19" s="29"/>
      <c r="R19" s="29"/>
      <c r="S19" s="29"/>
      <c r="T19" s="31"/>
      <c r="U19" s="31"/>
      <c r="V19" s="31"/>
      <c r="W19" s="31"/>
      <c r="X19" s="31"/>
      <c r="Y19" s="31"/>
      <c r="Z19" s="31"/>
    </row>
    <row r="20" spans="1:26" s="1" customFormat="1">
      <c r="A20" s="33" t="s">
        <v>77</v>
      </c>
      <c r="B20" s="33" t="s">
        <v>78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1" customFormat="1">
      <c r="A21" s="33" t="s">
        <v>79</v>
      </c>
      <c r="B21" s="33" t="s">
        <v>80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s="1" customFormat="1">
      <c r="A22" s="33" t="s">
        <v>81</v>
      </c>
      <c r="B22" s="33" t="s">
        <v>82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s="1" customFormat="1">
      <c r="A23" s="33" t="s">
        <v>83</v>
      </c>
      <c r="B23" s="33" t="s">
        <v>84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s="1" customFormat="1">
      <c r="A24" s="33" t="s">
        <v>85</v>
      </c>
      <c r="B24" s="33" t="s">
        <v>86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s="1" customFormat="1">
      <c r="A25" s="33" t="s">
        <v>87</v>
      </c>
      <c r="B25" s="33" t="s">
        <v>88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s="1" customFormat="1">
      <c r="A26" s="33" t="s">
        <v>89</v>
      </c>
      <c r="B26" s="33" t="s">
        <v>90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s="1" customFormat="1">
      <c r="A27" s="33" t="s">
        <v>91</v>
      </c>
      <c r="B27" s="33" t="s">
        <v>92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s="1" customFormat="1"/>
    <row r="29" spans="1:26">
      <c r="B29" s="1"/>
    </row>
    <row r="30" spans="1:26">
      <c r="M30"/>
      <c r="N30">
        <f>(S12-T12)/S12*100</f>
      </c>
    </row>
    <row r="31" spans="1:26">
      <c r="M31"/>
      <c r="N31">
        <f>(S85-T85)/S85*100</f>
      </c>
    </row>
    <row r="33" spans="53:53">
      <c r="BA33" s="1"/>
    </row>
    <row r="62" spans="1:22" s="1" customFormat="1">
      <c r="A62" s="3"/>
      <c r="C62" s="2"/>
      <c r="D62" s="2"/>
      <c r="E62" s="2"/>
      <c r="F62" s="2"/>
      <c r="G62" s="2"/>
      <c r="H62" s="2"/>
      <c r="M62"/>
      <c r="N62"/>
      <c r="O62"/>
      <c r="P62"/>
      <c r="Q62"/>
      <c r="R62"/>
      <c r="S62"/>
      <c r="T62"/>
      <c r="U62"/>
      <c r="V62"/>
    </row>
    <row r="63" spans="1:22" s="1" customFormat="1">
      <c r="A63" s="11"/>
      <c r="B63" s="11"/>
      <c r="M63"/>
      <c r="N63"/>
      <c r="O63"/>
      <c r="P63"/>
      <c r="Q63"/>
      <c r="R63"/>
      <c r="S63"/>
      <c r="T63"/>
      <c r="U63"/>
      <c r="V63"/>
    </row>
    <row r="64" spans="1:22" s="1" customFormat="1">
      <c r="A64" s="11"/>
      <c r="B64" s="11"/>
      <c r="M64"/>
      <c r="N64"/>
      <c r="O64"/>
      <c r="P64"/>
      <c r="Q64"/>
      <c r="R64"/>
      <c r="S64"/>
      <c r="T64"/>
      <c r="U64"/>
      <c r="V64"/>
    </row>
    <row r="65" spans="1:26" s="1" customFormat="1">
      <c r="A65" s="11"/>
      <c r="B65" s="11"/>
      <c r="M65"/>
      <c r="N65"/>
      <c r="O65"/>
      <c r="P65"/>
      <c r="Q65"/>
      <c r="R65"/>
      <c r="S65"/>
      <c r="T65"/>
      <c r="U65"/>
      <c r="V65"/>
    </row>
    <row r="66" spans="1:26" s="1" customFormat="1">
      <c r="A66" s="12"/>
      <c r="B66" s="12"/>
      <c r="M66"/>
      <c r="N66"/>
      <c r="O66"/>
      <c r="P66"/>
      <c r="Q66"/>
      <c r="R66"/>
      <c r="S66"/>
      <c r="T66"/>
      <c r="U66"/>
      <c r="V66"/>
    </row>
    <row r="67" spans="1:26" s="1" customFormat="1">
      <c r="A67" s="11"/>
      <c r="B67" s="11"/>
      <c r="M67"/>
      <c r="N67"/>
      <c r="O67"/>
      <c r="P67"/>
      <c r="Q67"/>
      <c r="R67"/>
      <c r="S67"/>
      <c r="T67"/>
      <c r="U67"/>
      <c r="V67"/>
    </row>
    <row r="68" spans="1:26" s="1" customFormat="1">
      <c r="A68" s="11"/>
      <c r="B68" s="11"/>
      <c r="M68"/>
      <c r="N68"/>
      <c r="O68"/>
      <c r="P68"/>
      <c r="Q68"/>
      <c r="R68"/>
      <c r="S68"/>
      <c r="T68"/>
      <c r="U68"/>
      <c r="V68"/>
    </row>
    <row r="69" spans="1:26" s="1" customFormat="1">
      <c r="A69" s="11"/>
      <c r="B69" s="11"/>
      <c r="M69"/>
      <c r="N69"/>
      <c r="O69"/>
      <c r="P69"/>
      <c r="Q69"/>
      <c r="R69"/>
      <c r="S69"/>
      <c r="T69"/>
      <c r="U69"/>
      <c r="V69"/>
    </row>
    <row r="70" spans="1:26" s="1" customFormat="1">
      <c r="A70" s="12"/>
      <c r="B70" s="12"/>
      <c r="M70"/>
      <c r="N70"/>
      <c r="O70"/>
      <c r="P70"/>
      <c r="Q70"/>
      <c r="R70"/>
      <c r="S70"/>
      <c r="T70"/>
      <c r="U70"/>
      <c r="V70"/>
    </row>
    <row r="74" spans="1:26">
      <c r="A74" s="44" t="s">
        <v>22</v>
      </c>
      <c r="B74" s="39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>
        <f>P1</f>
      </c>
      <c r="Q74" s="37">
        <f>Q1</f>
      </c>
      <c r="R74" s="37"/>
      <c r="S74" s="37">
        <f>S1</f>
      </c>
      <c r="T74" s="53"/>
      <c r="U74" s="53"/>
      <c r="V74" s="53"/>
      <c r="W74" s="37"/>
      <c r="X74" s="43"/>
      <c r="Y74" s="43"/>
      <c r="Z74" s="43"/>
    </row>
    <row r="75" spans="1:26" ht="18">
      <c r="A75" s="33" t="s">
        <v>73</v>
      </c>
      <c r="B75" s="33" t="s">
        <v>74</v>
      </c>
      <c r="C75" s="31"/>
      <c r="D75" s="31"/>
      <c r="E75" s="30"/>
      <c r="F75" s="40"/>
      <c r="G75" s="30"/>
      <c r="H75" s="32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29"/>
      <c r="U75" s="29"/>
      <c r="V75" s="29"/>
      <c r="W75" s="54"/>
      <c r="X75" s="31"/>
      <c r="Y75" s="31"/>
      <c r="Z75" s="31"/>
    </row>
    <row r="76" spans="1:26" ht="18">
      <c r="A76" s="33" t="s">
        <v>75</v>
      </c>
      <c r="B76" s="33" t="s">
        <v>76</v>
      </c>
      <c r="C76" s="31"/>
      <c r="D76" s="31"/>
      <c r="E76" s="31"/>
      <c r="F76" s="31"/>
      <c r="G76" s="30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29"/>
      <c r="U76" s="29"/>
      <c r="V76" s="29"/>
      <c r="W76" s="54"/>
      <c r="X76" s="31"/>
      <c r="Y76" s="31"/>
      <c r="Z76" s="31"/>
    </row>
    <row r="77" spans="1:26" ht="18">
      <c r="A77" s="33" t="s">
        <v>77</v>
      </c>
      <c r="B77" s="33" t="s">
        <v>78</v>
      </c>
      <c r="C77" s="31"/>
      <c r="D77" s="31"/>
      <c r="E77" s="31"/>
      <c r="F77" s="31"/>
      <c r="G77" s="30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29"/>
      <c r="U77" s="29"/>
      <c r="V77" s="29"/>
      <c r="W77" s="54"/>
      <c r="X77" s="31"/>
      <c r="Y77" s="31"/>
      <c r="Z77" s="31"/>
    </row>
    <row r="78" spans="1:26" ht="18">
      <c r="A78" s="33" t="s">
        <v>79</v>
      </c>
      <c r="B78" s="33" t="s">
        <v>80</v>
      </c>
      <c r="C78" s="31"/>
      <c r="D78" s="31"/>
      <c r="E78" s="30"/>
      <c r="F78" s="30"/>
      <c r="G78" s="30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29"/>
      <c r="U78" s="29"/>
      <c r="V78" s="29"/>
      <c r="W78" s="54"/>
      <c r="X78" s="31"/>
      <c r="Y78" s="31"/>
      <c r="Z78" s="31"/>
    </row>
    <row r="79" spans="1:26" ht="18">
      <c r="A79" s="33" t="s">
        <v>81</v>
      </c>
      <c r="B79" s="33" t="s">
        <v>82</v>
      </c>
      <c r="C79" s="31"/>
      <c r="D79" s="31"/>
      <c r="E79" s="31"/>
      <c r="F79" s="30"/>
      <c r="G79" s="30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29"/>
      <c r="U79" s="29"/>
      <c r="V79" s="29"/>
      <c r="W79" s="54"/>
      <c r="X79" s="31"/>
      <c r="Y79" s="31"/>
      <c r="Z79" s="31"/>
    </row>
    <row r="80" spans="1:26" ht="18">
      <c r="A80" s="33" t="s">
        <v>83</v>
      </c>
      <c r="B80" s="33" t="s">
        <v>84</v>
      </c>
      <c r="C80" s="31"/>
      <c r="D80" s="31"/>
      <c r="E80" s="31"/>
      <c r="F80" s="30"/>
      <c r="G80" s="30"/>
      <c r="H80" s="4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29"/>
      <c r="U80" s="29"/>
      <c r="V80" s="29"/>
      <c r="W80" s="54"/>
      <c r="X80" s="31"/>
      <c r="Y80" s="31"/>
      <c r="Z80" s="31"/>
    </row>
    <row r="81" spans="1:26" ht="18">
      <c r="A81" s="33" t="s">
        <v>85</v>
      </c>
      <c r="B81" s="33" t="s">
        <v>86</v>
      </c>
      <c r="C81" s="31"/>
      <c r="D81" s="31"/>
      <c r="E81" s="31"/>
      <c r="F81" s="30"/>
      <c r="G81" s="30"/>
      <c r="H81" s="4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29"/>
      <c r="U81" s="29"/>
      <c r="V81" s="29"/>
      <c r="W81" s="54"/>
      <c r="X81" s="31"/>
      <c r="Y81" s="31"/>
      <c r="Z81" s="31"/>
    </row>
    <row r="82" spans="1:26" ht="18">
      <c r="A82" s="33" t="s">
        <v>87</v>
      </c>
      <c r="B82" s="33" t="s">
        <v>88</v>
      </c>
      <c r="C82" s="31"/>
      <c r="D82" s="31"/>
      <c r="E82" s="31"/>
      <c r="F82" s="30"/>
      <c r="G82" s="30"/>
      <c r="H82" s="4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29"/>
      <c r="U82" s="29"/>
      <c r="V82" s="29"/>
      <c r="W82" s="54"/>
      <c r="X82" s="31"/>
      <c r="Y82" s="31"/>
      <c r="Z82" s="31"/>
    </row>
    <row r="83" spans="1:26" ht="18">
      <c r="A83" s="33" t="s">
        <v>89</v>
      </c>
      <c r="B83" s="33" t="s">
        <v>90</v>
      </c>
      <c r="C83" s="31"/>
      <c r="D83" s="31"/>
      <c r="E83" s="31"/>
      <c r="F83" s="30"/>
      <c r="G83" s="30"/>
      <c r="H83" s="4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29"/>
      <c r="U83" s="29"/>
      <c r="V83" s="29"/>
      <c r="W83" s="54"/>
      <c r="X83" s="31"/>
      <c r="Y83" s="31"/>
      <c r="Z83" s="31"/>
    </row>
    <row r="84" spans="1:26" ht="18">
      <c r="A84" s="33" t="s">
        <v>91</v>
      </c>
      <c r="B84" s="33" t="s">
        <v>92</v>
      </c>
      <c r="C84" s="31"/>
      <c r="D84" s="31"/>
      <c r="E84" s="31"/>
      <c r="F84" s="30"/>
      <c r="G84" s="30"/>
      <c r="H84" s="4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29"/>
      <c r="U84" s="29"/>
      <c r="V84" s="29"/>
      <c r="W84" s="54"/>
      <c r="X84" s="31"/>
      <c r="Y84" s="31"/>
      <c r="Z84" s="31"/>
    </row>
    <row r="85" spans="1:26">
      <c r="A85" s="34"/>
      <c r="B85" s="33" t="s">
        <v>93</v>
      </c>
      <c r="C85" s="31">
        <f>C75+C76</f>
      </c>
      <c r="D85" s="31">
        <f>D75+D76</f>
      </c>
      <c r="E85" s="31">
        <f>E75+E76</f>
      </c>
      <c r="F85" s="31">
        <f>F75+F76</f>
      </c>
      <c r="G85" s="31">
        <f>G75+G76</f>
      </c>
      <c r="H85" s="31">
        <f>H75+H76</f>
      </c>
      <c r="I85" s="31">
        <f>I75+I76</f>
      </c>
      <c r="J85" s="31">
        <f>J75+J76</f>
      </c>
      <c r="K85" s="31">
        <f>K75+K76</f>
      </c>
      <c r="L85" s="31">
        <f>L75+L76</f>
      </c>
      <c r="M85" s="31">
        <f>M75+M76</f>
      </c>
      <c r="N85" s="31">
        <f>N75+N76</f>
      </c>
      <c r="O85" s="31">
        <f>O75+O76</f>
      </c>
      <c r="P85" s="31">
        <f>P75+P76</f>
      </c>
      <c r="Q85" s="31">
        <f>Q75+Q76</f>
      </c>
      <c r="R85" s="31">
        <f>R75+R76</f>
      </c>
      <c r="S85" s="31">
        <f>S75+S76</f>
      </c>
      <c r="T85" s="31">
        <f>T75+T76</f>
      </c>
      <c r="U85" s="31"/>
      <c r="V85" s="31">
        <f>V75+V76</f>
      </c>
      <c r="W85" s="31">
        <f>W75+W76</f>
      </c>
      <c r="X85" s="31">
        <f>X75+X76</f>
      </c>
      <c r="Y85" s="31">
        <f>Y75+Y76</f>
      </c>
      <c r="Z85" s="31">
        <f>Z75+Z76</f>
      </c>
    </row>
    <row r="86" spans="1:26">
      <c r="A86" s="42"/>
      <c r="B86" s="42"/>
      <c r="C86"/>
      <c r="M86" s="1"/>
      <c r="N86" s="1"/>
      <c r="O86" s="1"/>
      <c r="P86" s="1"/>
      <c r="Q86" s="1"/>
      <c r="R86" s="1"/>
      <c r="S86" s="1"/>
    </row>
    <row r="87" spans="1:26">
      <c r="A87" s="39" t="s">
        <v>22</v>
      </c>
      <c r="B87" s="39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>
      <c r="A88" s="33" t="s">
        <v>73</v>
      </c>
      <c r="B88" s="33" t="s">
        <v>74</v>
      </c>
      <c r="C88" s="31"/>
      <c r="D88" s="32"/>
      <c r="E88" s="32"/>
      <c r="F88" s="31"/>
      <c r="G88" s="32"/>
      <c r="H88" s="32"/>
      <c r="I88" s="32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29"/>
      <c r="U88" s="29"/>
      <c r="V88" s="29"/>
      <c r="W88" s="31"/>
      <c r="X88" s="31"/>
      <c r="Y88" s="31"/>
      <c r="Z88" s="31"/>
    </row>
    <row r="89" spans="1:26">
      <c r="A89" s="33" t="s">
        <v>75</v>
      </c>
      <c r="B89" s="33" t="s">
        <v>76</v>
      </c>
      <c r="C89" s="32"/>
      <c r="D89" s="32"/>
      <c r="E89" s="32"/>
      <c r="F89" s="32"/>
      <c r="G89" s="32"/>
      <c r="H89" s="32"/>
      <c r="I89" s="32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29"/>
      <c r="U89" s="29"/>
      <c r="V89" s="29"/>
      <c r="W89" s="31"/>
      <c r="X89" s="31"/>
      <c r="Y89" s="31"/>
      <c r="Z89" s="31"/>
    </row>
    <row r="90" spans="1:26">
      <c r="A90" s="33" t="s">
        <v>77</v>
      </c>
      <c r="B90" s="33" t="s">
        <v>78</v>
      </c>
      <c r="C90" s="32"/>
      <c r="D90" s="32"/>
      <c r="E90" s="32"/>
      <c r="F90" s="32"/>
      <c r="G90" s="32"/>
      <c r="H90" s="32"/>
      <c r="I90" s="32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29"/>
      <c r="U90" s="29"/>
      <c r="V90" s="29"/>
      <c r="W90" s="31"/>
      <c r="X90" s="31"/>
      <c r="Y90" s="31"/>
      <c r="Z90" s="31"/>
    </row>
    <row r="91" spans="1:26">
      <c r="A91" s="33" t="s">
        <v>79</v>
      </c>
      <c r="B91" s="33" t="s">
        <v>80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29"/>
      <c r="U91" s="29"/>
      <c r="V91" s="29"/>
      <c r="W91" s="31"/>
      <c r="X91" s="31"/>
      <c r="Y91" s="31"/>
      <c r="Z91" s="31"/>
    </row>
    <row r="92" spans="1:26">
      <c r="A92" s="33" t="s">
        <v>81</v>
      </c>
      <c r="B92" s="33" t="s">
        <v>82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29"/>
      <c r="U92" s="29"/>
      <c r="V92" s="29"/>
      <c r="W92" s="31"/>
      <c r="X92" s="31"/>
      <c r="Y92" s="31"/>
      <c r="Z92" s="31"/>
    </row>
    <row r="93" spans="1:26">
      <c r="A93" s="33" t="s">
        <v>83</v>
      </c>
      <c r="B93" s="33" t="s">
        <v>84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29"/>
      <c r="U93" s="29"/>
      <c r="V93" s="29"/>
      <c r="W93" s="31"/>
      <c r="X93" s="31"/>
      <c r="Y93" s="31"/>
      <c r="Z93" s="31"/>
    </row>
    <row r="94" spans="1:26">
      <c r="A94" s="33" t="s">
        <v>85</v>
      </c>
      <c r="B94" s="33" t="s">
        <v>86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29"/>
      <c r="U94" s="29"/>
      <c r="V94" s="29"/>
      <c r="W94" s="31"/>
      <c r="X94" s="31"/>
      <c r="Y94" s="31"/>
      <c r="Z94" s="31"/>
    </row>
    <row r="95" spans="1:26">
      <c r="A95" s="33" t="s">
        <v>87</v>
      </c>
      <c r="B95" s="33" t="s">
        <v>88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29"/>
      <c r="U95" s="29"/>
      <c r="V95" s="29"/>
      <c r="W95" s="31"/>
      <c r="X95" s="31"/>
      <c r="Y95" s="31"/>
      <c r="Z95" s="31"/>
    </row>
    <row r="96" spans="1:26">
      <c r="A96" s="33" t="s">
        <v>89</v>
      </c>
      <c r="B96" s="33" t="s">
        <v>90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29"/>
      <c r="U96" s="29"/>
      <c r="V96" s="29"/>
      <c r="W96" s="31"/>
      <c r="X96" s="31"/>
      <c r="Y96" s="31"/>
      <c r="Z96" s="31"/>
    </row>
    <row r="97" spans="1:26">
      <c r="A97" s="33" t="s">
        <v>91</v>
      </c>
      <c r="B97" s="33" t="s">
        <v>92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29"/>
      <c r="U97" s="29"/>
      <c r="V97" s="29"/>
      <c r="W97" s="31"/>
      <c r="X97" s="31"/>
      <c r="Y97" s="31"/>
      <c r="Z97" s="31"/>
    </row>
    <row r="134" spans="1:22" s="1" customFormat="1">
      <c r="A134" s="3"/>
      <c r="C134" s="2"/>
      <c r="D134" s="2"/>
      <c r="E134" s="2"/>
      <c r="F134" s="2"/>
      <c r="G134" s="2"/>
      <c r="H134" s="2"/>
      <c r="M134"/>
      <c r="N134"/>
      <c r="O134"/>
      <c r="P134"/>
      <c r="Q134"/>
      <c r="R134"/>
      <c r="S134"/>
      <c r="T134"/>
      <c r="U134"/>
      <c r="V134"/>
    </row>
    <row r="135" spans="1:22" s="1" customFormat="1">
      <c r="A135" s="11"/>
      <c r="B135" s="11"/>
      <c r="M135"/>
      <c r="N135"/>
      <c r="O135"/>
      <c r="P135"/>
      <c r="Q135"/>
      <c r="R135"/>
      <c r="S135"/>
      <c r="T135"/>
      <c r="U135"/>
      <c r="V135"/>
    </row>
    <row r="136" spans="1:22" s="1" customFormat="1">
      <c r="A136" s="11"/>
      <c r="B136" s="11"/>
      <c r="M136"/>
      <c r="N136"/>
      <c r="O136"/>
      <c r="P136"/>
      <c r="Q136"/>
      <c r="R136"/>
      <c r="S136"/>
      <c r="T136"/>
      <c r="U136"/>
      <c r="V136"/>
    </row>
    <row r="137" spans="1:22" s="1" customFormat="1">
      <c r="A137" s="11"/>
      <c r="B137" s="11"/>
      <c r="M137"/>
      <c r="N137"/>
      <c r="O137"/>
      <c r="P137"/>
      <c r="Q137"/>
      <c r="R137"/>
      <c r="S137"/>
      <c r="T137"/>
      <c r="U137"/>
      <c r="V137"/>
    </row>
    <row r="138" spans="1:22" s="1" customFormat="1">
      <c r="A138" s="12"/>
      <c r="B138" s="12"/>
      <c r="M138"/>
      <c r="N138"/>
      <c r="O138"/>
      <c r="P138"/>
      <c r="Q138"/>
      <c r="R138"/>
      <c r="S138"/>
      <c r="T138"/>
      <c r="U138"/>
      <c r="V138"/>
    </row>
    <row r="139" spans="1:22" s="1" customFormat="1">
      <c r="A139" s="11"/>
      <c r="B139" s="11"/>
      <c r="M139"/>
      <c r="N139"/>
      <c r="O139"/>
      <c r="P139"/>
      <c r="Q139"/>
      <c r="R139"/>
      <c r="S139"/>
      <c r="T139"/>
      <c r="U139"/>
      <c r="V139"/>
    </row>
    <row r="140" spans="1:22" s="1" customFormat="1">
      <c r="A140" s="11"/>
      <c r="B140" s="11"/>
      <c r="M140"/>
      <c r="N140"/>
      <c r="O140"/>
      <c r="P140"/>
      <c r="Q140"/>
      <c r="R140"/>
      <c r="S140"/>
      <c r="T140"/>
      <c r="U140"/>
      <c r="V140"/>
    </row>
    <row r="141" spans="1:22" s="1" customFormat="1">
      <c r="A141" s="11"/>
      <c r="B141" s="11"/>
      <c r="M141"/>
      <c r="N141"/>
      <c r="O141"/>
      <c r="P141"/>
      <c r="Q141"/>
      <c r="R141"/>
      <c r="S141"/>
      <c r="T141"/>
      <c r="U141"/>
      <c r="V141"/>
    </row>
    <row r="142" spans="1:22" s="1" customFormat="1">
      <c r="A142" s="12"/>
      <c r="B142" s="12"/>
      <c r="M142"/>
      <c r="N142"/>
      <c r="O142"/>
      <c r="P142"/>
      <c r="Q142"/>
      <c r="R142"/>
      <c r="S142"/>
      <c r="T142"/>
      <c r="U142"/>
      <c r="V142"/>
    </row>
    <row r="143" spans="1:22" s="1" customFormat="1">
      <c r="A143" s="12"/>
      <c r="B143" s="12"/>
      <c r="M143"/>
      <c r="N143"/>
      <c r="O143"/>
      <c r="P143"/>
      <c r="Q143"/>
      <c r="R143"/>
      <c r="S143"/>
      <c r="T143"/>
      <c r="U143"/>
      <c r="V143"/>
    </row>
    <row r="145" spans="1:23" s="1" customFormat="1">
      <c r="B145" s="1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53"/>
      <c r="U145" s="53"/>
      <c r="V145" s="53"/>
      <c r="W145" s="37"/>
    </row>
    <row r="146" spans="1:23" s="1" customFormat="1" ht="18">
      <c r="B146" s="1"/>
      <c r="C146" s="30"/>
      <c r="D146" s="30"/>
      <c r="E146" s="30"/>
      <c r="F146" s="30"/>
      <c r="G146" s="30"/>
      <c r="H146" s="31"/>
      <c r="I146" s="30"/>
      <c r="J146" s="30"/>
      <c r="K146" s="30"/>
      <c r="L146" s="30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54"/>
    </row>
    <row r="147" spans="1:23" s="1" customFormat="1" ht="18">
      <c r="A147" s="3"/>
      <c r="B147" s="1"/>
      <c r="C147" s="31"/>
      <c r="D147" s="31"/>
      <c r="E147" s="30"/>
      <c r="F147" s="40"/>
      <c r="G147" s="30"/>
      <c r="H147" s="32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29"/>
      <c r="U147" s="29"/>
      <c r="V147" s="29"/>
      <c r="W147" s="54"/>
    </row>
    <row r="148" spans="1:23" s="1" customFormat="1" ht="16">
      <c r="A148" s="11"/>
      <c r="B148" s="11"/>
      <c r="C148" s="31"/>
      <c r="D148" s="31"/>
      <c r="E148" s="31"/>
      <c r="F148" s="31"/>
      <c r="G148" s="31"/>
      <c r="H148" s="31"/>
      <c r="I148" s="31"/>
      <c r="J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</row>
    <row r="149" spans="1:23" s="1" customFormat="1" ht="16">
      <c r="A149" s="11"/>
      <c r="B149" s="11"/>
      <c r="C149" s="31"/>
      <c r="D149" s="31"/>
      <c r="E149" s="31"/>
      <c r="F149" s="31"/>
      <c r="G149" s="31"/>
      <c r="H149" s="31"/>
      <c r="I149" s="31"/>
      <c r="J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29"/>
    </row>
    <row r="150" spans="1:23" s="1" customFormat="1">
      <c r="A150" s="12"/>
      <c r="B150" s="12"/>
      <c r="M150"/>
      <c r="N150"/>
      <c r="O150"/>
      <c r="P150"/>
      <c r="Q150"/>
      <c r="R150"/>
      <c r="S150"/>
      <c r="T150"/>
      <c r="U150"/>
      <c r="V150"/>
    </row>
    <row r="151" spans="1:23" s="1" customFormat="1">
      <c r="A151" s="11"/>
      <c r="B151" s="11"/>
      <c r="M151"/>
      <c r="N151"/>
      <c r="O151"/>
      <c r="P151"/>
      <c r="Q151"/>
      <c r="R151"/>
      <c r="S151"/>
      <c r="T151"/>
      <c r="U151"/>
      <c r="V151"/>
    </row>
    <row r="152" spans="1:23" s="1" customFormat="1">
      <c r="A152" s="11"/>
      <c r="B152" s="11"/>
      <c r="M152"/>
      <c r="N152"/>
      <c r="O152"/>
      <c r="P152"/>
      <c r="Q152"/>
      <c r="R152"/>
      <c r="S152"/>
      <c r="T152"/>
      <c r="U152"/>
      <c r="V152"/>
    </row>
    <row r="153" spans="1:23" s="1" customFormat="1">
      <c r="A153" s="11"/>
      <c r="B153" s="11"/>
      <c r="M153"/>
      <c r="N153"/>
      <c r="O153"/>
      <c r="P153"/>
      <c r="Q153"/>
      <c r="R153"/>
      <c r="S153"/>
      <c r="T153"/>
      <c r="U153"/>
      <c r="V153"/>
    </row>
    <row r="154" spans="1:23" s="1" customFormat="1">
      <c r="A154" s="12"/>
      <c r="B154" s="12"/>
      <c r="M154"/>
      <c r="N154"/>
      <c r="O154"/>
      <c r="P154"/>
      <c r="Q154"/>
      <c r="R154"/>
      <c r="S154"/>
      <c r="T154"/>
      <c r="U154"/>
      <c r="V154"/>
    </row>
    <row r="155" spans="1:23" s="1" customFormat="1">
      <c r="A155" s="12"/>
      <c r="B155" s="12"/>
      <c r="M155"/>
      <c r="N155"/>
      <c r="O155"/>
      <c r="P155"/>
      <c r="Q155"/>
      <c r="R155"/>
      <c r="S155"/>
      <c r="T155"/>
      <c r="U155"/>
      <c r="V155"/>
    </row>
  </sheetData>
  <phoneticPr fontId="13" type="noConversion"/>
  <pageMargins left="0.75" right="0.75" top="1" bottom="1" header="0.51180555555555496" footer="0.51180555555555496"/>
  <pageSetup paperSize="9" firstPageNumber="0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ADB3-A1CC-0F45-8E76-BF3C53D6E130}">
  <sheetPr codeName="工作表4"/>
  <dimension ref="A1:AMT151"/>
  <sheetViews>
    <sheetView zoomScale="75" zoomScaleNormal="40" workbookViewId="0">
      <selection activeCell="B1" sqref="B1:V11"/>
    </sheetView>
  </sheetViews>
  <sheetFormatPr baseColWidth="10" defaultColWidth="8.83203125" defaultRowHeight="15"/>
  <cols>
    <col min="1" max="1" width="20.1640625" style="1" customWidth="1"/>
    <col min="2" max="2" width="13.5" style="1" customWidth="1"/>
    <col min="3" max="6" width="9.1640625" style="1" customWidth="1"/>
    <col min="7" max="11" width="11" style="1" customWidth="1"/>
    <col min="12" max="19" width="11" customWidth="1"/>
    <col min="20" max="20" width="12.33203125" customWidth="1"/>
    <col min="21" max="22" width="11" customWidth="1"/>
    <col min="23" max="1034" width="11" style="1" customWidth="1"/>
  </cols>
  <sheetData>
    <row r="1" spans="1:26">
      <c r="A1" s="44" t="s">
        <v>0</v>
      </c>
      <c r="B1" s="33" t="s">
        <v>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>
        <f>'Summary (line)'!S1</f>
      </c>
      <c r="S1" s="37"/>
      <c r="T1" s="53"/>
      <c r="U1" s="53"/>
      <c r="V1" s="37"/>
      <c r="W1" s="37"/>
      <c r="X1" s="37"/>
      <c r="Y1" s="37"/>
      <c r="Z1" s="37"/>
    </row>
    <row r="2" spans="1:26" s="1" customFormat="1">
      <c r="A2" s="45" t="s">
        <v>54</v>
      </c>
      <c r="B2" s="45" t="s">
        <v>55</v>
      </c>
      <c r="C2" s="30"/>
      <c r="D2" s="30"/>
      <c r="E2" s="30"/>
      <c r="F2" s="30"/>
      <c r="G2" s="30"/>
      <c r="H2" s="32"/>
      <c r="I2" s="32"/>
      <c r="J2" s="32"/>
      <c r="K2" s="32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s="1" customFormat="1">
      <c r="A3" s="45" t="s">
        <v>56</v>
      </c>
      <c r="B3" s="45" t="s">
        <v>57</v>
      </c>
      <c r="C3" s="30"/>
      <c r="D3" s="30"/>
      <c r="E3" s="30"/>
      <c r="F3" s="30"/>
      <c r="G3" s="30"/>
      <c r="H3" s="32"/>
      <c r="I3" s="32"/>
      <c r="J3" s="32"/>
      <c r="K3" s="32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s="1" customFormat="1">
      <c r="A4" s="45" t="s">
        <v>58</v>
      </c>
      <c r="B4" s="45" t="s">
        <v>59</v>
      </c>
      <c r="C4" s="30"/>
      <c r="D4" s="30"/>
      <c r="E4" s="30"/>
      <c r="F4" s="30"/>
      <c r="G4" s="30"/>
      <c r="H4" s="32"/>
      <c r="I4" s="32"/>
      <c r="J4" s="32"/>
      <c r="K4" s="32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s="1" customFormat="1" ht="16">
      <c r="A5" s="46" t="s">
        <v>60</v>
      </c>
      <c r="B5" s="46" t="s">
        <v>61</v>
      </c>
      <c r="C5" s="30"/>
      <c r="D5" s="30"/>
      <c r="E5" s="30"/>
      <c r="F5" s="30"/>
      <c r="G5" s="30"/>
      <c r="H5" s="32"/>
      <c r="I5" s="32"/>
      <c r="J5" s="32"/>
      <c r="K5" s="32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s="1" customFormat="1" ht="16">
      <c r="A6" s="45" t="s">
        <v>18</v>
      </c>
      <c r="B6" s="45" t="s">
        <v>62</v>
      </c>
      <c r="C6" s="30"/>
      <c r="D6" s="30"/>
      <c r="E6" s="30"/>
      <c r="F6" s="30"/>
      <c r="G6" s="30"/>
      <c r="H6" s="32"/>
      <c r="I6" s="32"/>
      <c r="J6" s="32"/>
      <c r="K6" s="3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s="1" customFormat="1">
      <c r="A7" s="45" t="s">
        <v>20</v>
      </c>
      <c r="B7" s="45" t="s">
        <v>63</v>
      </c>
      <c r="C7" s="30"/>
      <c r="D7" s="30"/>
      <c r="E7" s="30"/>
      <c r="F7" s="30"/>
      <c r="G7" s="30"/>
      <c r="H7" s="32"/>
      <c r="I7" s="32"/>
      <c r="J7" s="32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s="1" customFormat="1">
      <c r="A8" s="45" t="s">
        <v>64</v>
      </c>
      <c r="B8" s="45" t="s">
        <v>65</v>
      </c>
      <c r="C8" s="30"/>
      <c r="D8" s="30"/>
      <c r="E8" s="30"/>
      <c r="F8" s="30"/>
      <c r="G8" s="30"/>
      <c r="H8" s="32"/>
      <c r="I8" s="32"/>
      <c r="J8" s="32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s="1" customFormat="1">
      <c r="A9" s="45" t="s">
        <v>66</v>
      </c>
      <c r="B9" s="45" t="s">
        <v>67</v>
      </c>
      <c r="C9" s="30"/>
      <c r="D9" s="30"/>
      <c r="E9" s="30"/>
      <c r="F9" s="30"/>
      <c r="G9" s="30"/>
      <c r="H9" s="32"/>
      <c r="I9" s="32"/>
      <c r="J9" s="32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s="1" customFormat="1" ht="16">
      <c r="A10" s="45" t="s">
        <v>68</v>
      </c>
      <c r="B10" s="45" t="s">
        <v>69</v>
      </c>
      <c r="C10" s="30"/>
      <c r="D10" s="30"/>
      <c r="E10" s="30"/>
      <c r="F10" s="30"/>
      <c r="G10" s="30"/>
      <c r="H10" s="31"/>
      <c r="I10" s="32"/>
      <c r="J10" s="32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s="1" customFormat="1">
      <c r="A11" s="45" t="s">
        <v>70</v>
      </c>
      <c r="B11" s="45" t="s">
        <v>71</v>
      </c>
      <c r="C11" s="30"/>
      <c r="D11" s="30"/>
      <c r="E11" s="30"/>
      <c r="F11" s="30"/>
      <c r="G11" s="30"/>
      <c r="H11" s="31"/>
      <c r="I11" s="32"/>
      <c r="J11" s="32"/>
      <c r="K11" s="32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">
      <c r="A12" s="35"/>
      <c r="B12" s="35"/>
      <c r="F12" s="8"/>
    </row>
    <row r="13" spans="1:26">
      <c r="A13" s="44" t="s">
        <v>0</v>
      </c>
      <c r="B13" s="3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>
      <c r="A14" s="45" t="s">
        <v>54</v>
      </c>
      <c r="B14" s="45" t="s">
        <v>55</v>
      </c>
      <c r="C14" s="31"/>
      <c r="D14" s="31"/>
      <c r="E14" s="31"/>
      <c r="F14" s="31"/>
      <c r="G14" s="31"/>
      <c r="H14" s="31"/>
      <c r="I14" s="31"/>
      <c r="J14" s="31"/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1"/>
      <c r="X14" s="31"/>
      <c r="Y14" s="31"/>
      <c r="Z14" s="31"/>
    </row>
    <row r="15" spans="1:26">
      <c r="A15" s="45" t="s">
        <v>56</v>
      </c>
      <c r="B15" s="45" t="s">
        <v>57</v>
      </c>
      <c r="C15" s="31"/>
      <c r="D15" s="31"/>
      <c r="E15" s="31"/>
      <c r="F15" s="31"/>
      <c r="G15" s="31"/>
      <c r="H15" s="31"/>
      <c r="I15" s="31"/>
      <c r="J15" s="31"/>
      <c r="K15" s="31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1"/>
      <c r="X15" s="31"/>
      <c r="Y15" s="31"/>
      <c r="Z15" s="31"/>
    </row>
    <row r="16" spans="1:26" s="1" customFormat="1">
      <c r="A16" s="45" t="s">
        <v>58</v>
      </c>
      <c r="B16" s="45" t="s">
        <v>59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s="1" customFormat="1" ht="16">
      <c r="A17" s="46" t="s">
        <v>60</v>
      </c>
      <c r="B17" s="46" t="s">
        <v>61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s="1" customFormat="1" ht="16">
      <c r="A18" s="45" t="s">
        <v>18</v>
      </c>
      <c r="B18" s="45" t="s">
        <v>62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s="1" customFormat="1">
      <c r="A19" s="45" t="s">
        <v>20</v>
      </c>
      <c r="B19" s="45" t="s">
        <v>63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s="1" customFormat="1">
      <c r="A20" s="45" t="s">
        <v>64</v>
      </c>
      <c r="B20" s="45" t="s">
        <v>65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1" customFormat="1">
      <c r="A21" s="45" t="s">
        <v>66</v>
      </c>
      <c r="B21" s="45" t="s">
        <v>67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s="1" customFormat="1" ht="16">
      <c r="A22" s="45" t="s">
        <v>68</v>
      </c>
      <c r="B22" s="45" t="s">
        <v>69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s="1" customFormat="1">
      <c r="A23" s="45" t="s">
        <v>70</v>
      </c>
      <c r="B23" s="45" t="s">
        <v>71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s="1" customFormat="1"/>
    <row r="61" spans="1:8">
      <c r="A61" s="3"/>
      <c r="C61" s="2"/>
      <c r="D61" s="2"/>
      <c r="E61" s="2"/>
      <c r="F61" s="2"/>
      <c r="G61" s="2"/>
      <c r="H61" s="2"/>
    </row>
    <row r="62" spans="1:8">
      <c r="A62" s="11"/>
      <c r="B62" s="11"/>
    </row>
    <row r="63" spans="1:8">
      <c r="A63" s="11"/>
      <c r="B63" s="11"/>
    </row>
    <row r="64" spans="1:8">
      <c r="A64" s="11"/>
      <c r="B64" s="11"/>
    </row>
    <row r="65" spans="1:26" s="1" customFormat="1"/>
    <row r="68" spans="1:26">
      <c r="A68" s="44" t="s">
        <v>22</v>
      </c>
      <c r="B68" s="33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>
        <f>R1</f>
      </c>
      <c r="S68" s="53"/>
      <c r="T68" s="53"/>
      <c r="U68" s="53"/>
      <c r="V68" s="37"/>
      <c r="W68" s="37"/>
      <c r="X68" s="37"/>
      <c r="Y68" s="37"/>
      <c r="Z68" s="37"/>
    </row>
    <row r="69" spans="1:26">
      <c r="A69" s="45" t="s">
        <v>54</v>
      </c>
      <c r="B69" s="45" t="s">
        <v>55</v>
      </c>
      <c r="C69" s="30"/>
      <c r="D69" s="30"/>
      <c r="E69" s="30"/>
      <c r="F69" s="30"/>
      <c r="G69" s="30"/>
      <c r="H69" s="31"/>
      <c r="I69" s="32"/>
      <c r="J69" s="31"/>
      <c r="K69" s="31"/>
      <c r="L69" s="31"/>
      <c r="M69" s="31"/>
      <c r="N69" s="31"/>
      <c r="O69" s="31"/>
      <c r="P69" s="31"/>
      <c r="Q69" s="31"/>
      <c r="R69" s="31"/>
      <c r="S69" s="29"/>
      <c r="T69" s="29"/>
      <c r="U69" s="31"/>
      <c r="V69" s="29"/>
      <c r="W69" s="31"/>
      <c r="X69" s="31"/>
      <c r="Y69" s="31"/>
      <c r="Z69" s="31"/>
    </row>
    <row r="70" spans="1:26">
      <c r="A70" s="45" t="s">
        <v>56</v>
      </c>
      <c r="B70" s="45" t="s">
        <v>57</v>
      </c>
      <c r="C70" s="30"/>
      <c r="D70" s="30"/>
      <c r="E70" s="30"/>
      <c r="F70" s="30"/>
      <c r="G70" s="30"/>
      <c r="H70" s="31"/>
      <c r="I70" s="32"/>
      <c r="J70" s="31"/>
      <c r="K70" s="31"/>
      <c r="L70" s="31"/>
      <c r="M70" s="31"/>
      <c r="N70" s="31"/>
      <c r="O70" s="31"/>
      <c r="P70" s="31"/>
      <c r="Q70" s="31"/>
      <c r="R70" s="31"/>
      <c r="S70" s="29"/>
      <c r="T70" s="29"/>
      <c r="U70" s="31"/>
      <c r="V70" s="29"/>
      <c r="W70" s="31"/>
      <c r="X70" s="31"/>
      <c r="Y70" s="31"/>
      <c r="Z70" s="31"/>
    </row>
    <row r="71" spans="1:26">
      <c r="A71" s="45" t="s">
        <v>58</v>
      </c>
      <c r="B71" s="45" t="s">
        <v>59</v>
      </c>
      <c r="C71" s="30"/>
      <c r="D71" s="30"/>
      <c r="E71" s="30"/>
      <c r="F71" s="30"/>
      <c r="G71" s="30"/>
      <c r="H71" s="31"/>
      <c r="I71" s="32"/>
      <c r="J71" s="31"/>
      <c r="K71" s="31"/>
      <c r="L71" s="31"/>
      <c r="M71" s="31"/>
      <c r="N71" s="31"/>
      <c r="O71" s="31"/>
      <c r="P71" s="31"/>
      <c r="Q71" s="31"/>
      <c r="R71" s="31"/>
      <c r="S71" s="29"/>
      <c r="T71" s="29"/>
      <c r="U71" s="31"/>
      <c r="V71" s="29"/>
      <c r="W71" s="31"/>
      <c r="X71" s="31"/>
      <c r="Y71" s="31"/>
      <c r="Z71" s="31"/>
    </row>
    <row r="72" spans="1:26" ht="16">
      <c r="A72" s="46" t="s">
        <v>60</v>
      </c>
      <c r="B72" s="46" t="s">
        <v>61</v>
      </c>
      <c r="C72" s="30"/>
      <c r="D72" s="30"/>
      <c r="E72" s="30"/>
      <c r="F72" s="30"/>
      <c r="G72" s="30"/>
      <c r="H72" s="31"/>
      <c r="I72" s="32"/>
      <c r="J72" s="31"/>
      <c r="K72" s="31"/>
      <c r="L72" s="31"/>
      <c r="M72" s="31"/>
      <c r="N72" s="31"/>
      <c r="O72" s="31"/>
      <c r="P72" s="31"/>
      <c r="Q72" s="31"/>
      <c r="R72" s="31"/>
      <c r="S72" s="29"/>
      <c r="T72" s="29"/>
      <c r="U72" s="31"/>
      <c r="V72" s="29"/>
      <c r="W72" s="31"/>
      <c r="X72" s="31"/>
      <c r="Y72" s="31"/>
      <c r="Z72" s="31"/>
    </row>
    <row r="73" spans="1:26" ht="16">
      <c r="A73" s="45" t="s">
        <v>18</v>
      </c>
      <c r="B73" s="45" t="s">
        <v>62</v>
      </c>
      <c r="C73" s="30"/>
      <c r="D73" s="30"/>
      <c r="E73" s="30"/>
      <c r="F73" s="30"/>
      <c r="G73" s="30"/>
      <c r="H73" s="31"/>
      <c r="I73" s="32"/>
      <c r="J73" s="31"/>
      <c r="K73" s="31"/>
      <c r="L73" s="31"/>
      <c r="M73" s="31"/>
      <c r="N73" s="31"/>
      <c r="O73" s="31"/>
      <c r="P73" s="31"/>
      <c r="Q73" s="31"/>
      <c r="R73" s="31"/>
      <c r="S73" s="29"/>
      <c r="T73" s="29"/>
      <c r="U73" s="31"/>
      <c r="V73" s="29"/>
      <c r="W73" s="31"/>
      <c r="X73" s="31"/>
      <c r="Y73" s="31"/>
      <c r="Z73" s="31"/>
    </row>
    <row r="74" spans="1:26">
      <c r="A74" s="45" t="s">
        <v>20</v>
      </c>
      <c r="B74" s="45" t="s">
        <v>63</v>
      </c>
      <c r="C74" s="30"/>
      <c r="D74" s="30"/>
      <c r="E74" s="30"/>
      <c r="F74" s="30"/>
      <c r="G74" s="30"/>
      <c r="H74" s="31"/>
      <c r="I74" s="32"/>
      <c r="J74" s="31"/>
      <c r="K74" s="31"/>
      <c r="L74" s="31"/>
      <c r="M74" s="31"/>
      <c r="N74" s="31"/>
      <c r="O74" s="31"/>
      <c r="P74" s="31"/>
      <c r="Q74" s="31"/>
      <c r="R74" s="31"/>
      <c r="S74" s="29"/>
      <c r="T74" s="29"/>
      <c r="U74" s="31"/>
      <c r="V74" s="29"/>
      <c r="W74" s="31"/>
      <c r="X74" s="31"/>
      <c r="Y74" s="31"/>
      <c r="Z74" s="31"/>
    </row>
    <row r="75" spans="1:26">
      <c r="A75" s="45" t="s">
        <v>64</v>
      </c>
      <c r="B75" s="45" t="s">
        <v>65</v>
      </c>
      <c r="C75" s="30"/>
      <c r="D75" s="30"/>
      <c r="E75" s="30"/>
      <c r="F75" s="30"/>
      <c r="G75" s="30"/>
      <c r="H75" s="31"/>
      <c r="I75" s="32"/>
      <c r="J75" s="31"/>
      <c r="K75" s="31"/>
      <c r="L75" s="31"/>
      <c r="M75" s="31"/>
      <c r="N75" s="31"/>
      <c r="O75" s="31"/>
      <c r="P75" s="31"/>
      <c r="Q75" s="31"/>
      <c r="R75" s="31"/>
      <c r="S75" s="29"/>
      <c r="T75" s="29"/>
      <c r="U75" s="31"/>
      <c r="V75" s="29"/>
      <c r="W75" s="31"/>
      <c r="X75" s="31"/>
      <c r="Y75" s="31"/>
      <c r="Z75" s="31"/>
    </row>
    <row r="76" spans="1:26">
      <c r="A76" s="45" t="s">
        <v>66</v>
      </c>
      <c r="B76" s="45" t="s">
        <v>67</v>
      </c>
      <c r="C76" s="30"/>
      <c r="D76" s="30"/>
      <c r="E76" s="30"/>
      <c r="F76" s="30"/>
      <c r="G76" s="30"/>
      <c r="H76" s="31"/>
      <c r="I76" s="32"/>
      <c r="J76" s="31"/>
      <c r="K76" s="31"/>
      <c r="L76" s="31"/>
      <c r="M76" s="31"/>
      <c r="N76" s="31"/>
      <c r="O76" s="31"/>
      <c r="P76" s="31"/>
      <c r="Q76" s="31"/>
      <c r="R76" s="31"/>
      <c r="S76" s="29"/>
      <c r="T76" s="29"/>
      <c r="U76" s="31"/>
      <c r="V76" s="29"/>
      <c r="W76" s="31"/>
      <c r="X76" s="31"/>
      <c r="Y76" s="31"/>
      <c r="Z76" s="31"/>
    </row>
    <row r="77" spans="1:26" ht="16">
      <c r="A77" s="45" t="s">
        <v>68</v>
      </c>
      <c r="B77" s="45" t="s">
        <v>72</v>
      </c>
      <c r="C77" s="30"/>
      <c r="D77" s="30"/>
      <c r="E77" s="30"/>
      <c r="F77" s="30"/>
      <c r="G77" s="30"/>
      <c r="H77" s="31"/>
      <c r="I77" s="32"/>
      <c r="J77" s="31"/>
      <c r="K77" s="31"/>
      <c r="L77" s="31"/>
      <c r="M77" s="31"/>
      <c r="N77" s="31"/>
      <c r="O77" s="31"/>
      <c r="P77" s="31"/>
      <c r="Q77" s="31"/>
      <c r="R77" s="31"/>
      <c r="S77" s="29"/>
      <c r="T77" s="29"/>
      <c r="U77" s="31"/>
      <c r="V77" s="29"/>
      <c r="W77" s="31"/>
      <c r="X77" s="31"/>
      <c r="Y77" s="31"/>
      <c r="Z77" s="31"/>
    </row>
    <row r="78" spans="1:26">
      <c r="A78" s="45" t="s">
        <v>70</v>
      </c>
      <c r="B78" s="45" t="s">
        <v>71</v>
      </c>
      <c r="C78" s="30"/>
      <c r="D78" s="30"/>
      <c r="E78" s="30"/>
      <c r="F78" s="30"/>
      <c r="G78" s="30"/>
      <c r="H78" s="31"/>
      <c r="I78" s="32"/>
      <c r="J78" s="31"/>
      <c r="K78" s="31"/>
      <c r="L78" s="31"/>
      <c r="M78" s="31"/>
      <c r="N78" s="31"/>
      <c r="O78" s="31"/>
      <c r="P78" s="31"/>
      <c r="Q78" s="31"/>
      <c r="R78" s="31"/>
      <c r="S78" s="29"/>
      <c r="T78" s="29"/>
      <c r="U78" s="31"/>
      <c r="V78" s="29"/>
      <c r="W78" s="31"/>
      <c r="X78" s="31"/>
      <c r="Y78" s="31"/>
      <c r="Z78" s="31"/>
    </row>
    <row r="79" spans="1:26">
      <c r="A79" s="50"/>
      <c r="B79" s="50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7"/>
      <c r="T79" s="47"/>
      <c r="V79" s="47"/>
      <c r="W79" s="48"/>
      <c r="X79" s="48"/>
      <c r="Y79" s="48"/>
      <c r="Z79" s="48"/>
    </row>
    <row r="80" spans="1:26">
      <c r="A80" s="44" t="s">
        <v>22</v>
      </c>
      <c r="B80" s="34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39"/>
      <c r="V80" s="49"/>
      <c r="W80" s="49"/>
      <c r="X80" s="49"/>
      <c r="Y80" s="49"/>
      <c r="Z80" s="49"/>
    </row>
    <row r="81" spans="1:26">
      <c r="A81" s="45" t="s">
        <v>54</v>
      </c>
      <c r="B81" s="45" t="s">
        <v>55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29"/>
      <c r="T81" s="29"/>
      <c r="U81" s="29"/>
      <c r="V81" s="29"/>
      <c r="W81" s="31"/>
      <c r="X81" s="31"/>
      <c r="Y81" s="31"/>
      <c r="Z81" s="31"/>
    </row>
    <row r="82" spans="1:26">
      <c r="A82" s="45" t="s">
        <v>56</v>
      </c>
      <c r="B82" s="45" t="s">
        <v>57</v>
      </c>
      <c r="C82" s="31"/>
      <c r="D82" s="31"/>
      <c r="E82" s="31"/>
      <c r="F82" s="31"/>
      <c r="G82" s="31"/>
      <c r="H82" s="31"/>
      <c r="I82" s="32"/>
      <c r="J82" s="31"/>
      <c r="K82" s="31"/>
      <c r="L82" s="31"/>
      <c r="M82" s="31"/>
      <c r="N82" s="31"/>
      <c r="O82" s="31"/>
      <c r="P82" s="31"/>
      <c r="Q82" s="31"/>
      <c r="R82" s="31"/>
      <c r="S82" s="29"/>
      <c r="T82" s="29"/>
      <c r="U82" s="29"/>
      <c r="V82" s="29"/>
      <c r="W82" s="31"/>
      <c r="X82" s="31"/>
      <c r="Y82" s="31"/>
      <c r="Z82" s="31"/>
    </row>
    <row r="83" spans="1:26">
      <c r="A83" s="45" t="s">
        <v>58</v>
      </c>
      <c r="B83" s="45" t="s">
        <v>59</v>
      </c>
      <c r="C83" s="31"/>
      <c r="D83" s="31"/>
      <c r="E83" s="31"/>
      <c r="F83" s="31"/>
      <c r="G83" s="31"/>
      <c r="H83" s="31"/>
      <c r="I83" s="32"/>
      <c r="J83" s="31"/>
      <c r="K83" s="31"/>
      <c r="L83" s="31"/>
      <c r="M83" s="31"/>
      <c r="N83" s="31"/>
      <c r="O83" s="31"/>
      <c r="P83" s="31"/>
      <c r="Q83" s="31"/>
      <c r="R83" s="31"/>
      <c r="S83" s="29"/>
      <c r="T83" s="29"/>
      <c r="U83" s="31"/>
      <c r="V83" s="29"/>
      <c r="W83" s="31"/>
      <c r="X83" s="31"/>
      <c r="Y83" s="31"/>
      <c r="Z83" s="31"/>
    </row>
    <row r="84" spans="1:26" ht="16">
      <c r="A84" s="46" t="s">
        <v>60</v>
      </c>
      <c r="B84" s="46" t="s">
        <v>61</v>
      </c>
      <c r="C84" s="31"/>
      <c r="D84" s="31"/>
      <c r="E84" s="31"/>
      <c r="F84" s="31"/>
      <c r="G84" s="31"/>
      <c r="H84" s="31"/>
      <c r="I84" s="32"/>
      <c r="J84" s="31"/>
      <c r="K84" s="31"/>
      <c r="L84" s="31"/>
      <c r="M84" s="31"/>
      <c r="N84" s="31"/>
      <c r="O84" s="31"/>
      <c r="P84" s="31"/>
      <c r="Q84" s="31"/>
      <c r="R84" s="31"/>
      <c r="S84" s="29"/>
      <c r="T84" s="29"/>
      <c r="U84" s="31"/>
      <c r="V84" s="29"/>
      <c r="W84" s="31"/>
      <c r="X84" s="31"/>
      <c r="Y84" s="31"/>
      <c r="Z84" s="31"/>
    </row>
    <row r="85" spans="1:26" ht="16">
      <c r="A85" s="45" t="s">
        <v>18</v>
      </c>
      <c r="B85" s="45" t="s">
        <v>62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29"/>
      <c r="T85" s="29"/>
      <c r="U85" s="31"/>
      <c r="V85" s="29"/>
      <c r="W85" s="31"/>
      <c r="X85" s="31"/>
      <c r="Y85" s="31"/>
      <c r="Z85" s="31"/>
    </row>
    <row r="86" spans="1:26">
      <c r="A86" s="45" t="s">
        <v>20</v>
      </c>
      <c r="B86" s="45" t="s">
        <v>63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29"/>
      <c r="T86" s="29"/>
      <c r="U86" s="31"/>
      <c r="V86" s="29"/>
      <c r="W86" s="31"/>
      <c r="X86" s="31"/>
      <c r="Y86" s="31"/>
      <c r="Z86" s="31"/>
    </row>
    <row r="87" spans="1:26">
      <c r="A87" s="45" t="s">
        <v>64</v>
      </c>
      <c r="B87" s="45" t="s">
        <v>65</v>
      </c>
      <c r="C87" s="31"/>
      <c r="D87" s="31"/>
      <c r="E87" s="31"/>
      <c r="F87" s="31"/>
      <c r="G87" s="31"/>
      <c r="H87" s="31"/>
      <c r="I87" s="32"/>
      <c r="J87" s="31"/>
      <c r="K87" s="31"/>
      <c r="L87" s="31"/>
      <c r="M87" s="31"/>
      <c r="N87" s="31"/>
      <c r="O87" s="31"/>
      <c r="P87" s="31"/>
      <c r="Q87" s="31"/>
      <c r="R87" s="31"/>
      <c r="S87" s="29"/>
      <c r="T87" s="29"/>
      <c r="U87" s="31"/>
      <c r="V87" s="29"/>
      <c r="W87" s="31"/>
      <c r="X87" s="31"/>
      <c r="Y87" s="31"/>
      <c r="Z87" s="31"/>
    </row>
    <row r="88" spans="1:26">
      <c r="A88" s="45" t="s">
        <v>66</v>
      </c>
      <c r="B88" s="45" t="s">
        <v>67</v>
      </c>
      <c r="C88" s="31"/>
      <c r="D88" s="31"/>
      <c r="E88" s="31"/>
      <c r="F88" s="31"/>
      <c r="G88" s="31"/>
      <c r="H88" s="31"/>
      <c r="I88" s="32"/>
      <c r="J88" s="31"/>
      <c r="K88" s="31"/>
      <c r="L88" s="31"/>
      <c r="M88" s="31"/>
      <c r="N88" s="31"/>
      <c r="O88" s="31"/>
      <c r="P88" s="31"/>
      <c r="Q88" s="31"/>
      <c r="R88" s="31"/>
      <c r="S88" s="29"/>
      <c r="T88" s="29"/>
      <c r="U88" s="31"/>
      <c r="V88" s="29"/>
      <c r="W88" s="31"/>
      <c r="X88" s="31"/>
      <c r="Y88" s="31"/>
      <c r="Z88" s="31"/>
    </row>
    <row r="89" spans="1:26" ht="16">
      <c r="A89" s="45" t="s">
        <v>68</v>
      </c>
      <c r="B89" s="45" t="s">
        <v>72</v>
      </c>
      <c r="C89" s="31"/>
      <c r="D89" s="31"/>
      <c r="E89" s="31"/>
      <c r="F89" s="31"/>
      <c r="G89" s="31"/>
      <c r="H89" s="31"/>
      <c r="I89" s="32"/>
      <c r="J89" s="31"/>
      <c r="K89" s="31"/>
      <c r="L89" s="31"/>
      <c r="M89" s="31"/>
      <c r="N89" s="31"/>
      <c r="O89" s="31"/>
      <c r="P89" s="31"/>
      <c r="Q89" s="31"/>
      <c r="R89" s="31"/>
      <c r="S89" s="29"/>
      <c r="T89" s="29"/>
      <c r="U89" s="31"/>
      <c r="V89" s="29"/>
      <c r="W89" s="31"/>
      <c r="X89" s="31"/>
      <c r="Y89" s="31"/>
      <c r="Z89" s="31"/>
    </row>
    <row r="90" spans="1:26">
      <c r="A90" s="45" t="s">
        <v>70</v>
      </c>
      <c r="B90" s="45" t="s">
        <v>71</v>
      </c>
      <c r="C90" s="31"/>
      <c r="D90" s="31"/>
      <c r="E90" s="31"/>
      <c r="F90" s="31"/>
      <c r="G90" s="31"/>
      <c r="H90" s="31"/>
      <c r="I90" s="32"/>
      <c r="J90" s="31"/>
      <c r="K90" s="31"/>
      <c r="L90" s="31"/>
      <c r="M90" s="31"/>
      <c r="N90" s="31"/>
      <c r="O90" s="31"/>
      <c r="P90" s="31"/>
      <c r="Q90" s="31"/>
      <c r="R90" s="31"/>
      <c r="S90" s="29"/>
      <c r="T90" s="29"/>
      <c r="U90" s="31"/>
      <c r="V90" s="29"/>
      <c r="W90" s="31"/>
      <c r="X90" s="31"/>
      <c r="Y90" s="31"/>
      <c r="Z90" s="31"/>
    </row>
    <row r="91" spans="1:26">
      <c r="L91" s="1"/>
      <c r="M91" s="1"/>
      <c r="N91" s="1"/>
      <c r="O91" s="1"/>
      <c r="P91" s="1"/>
      <c r="Q91" s="1"/>
      <c r="R91" s="1"/>
    </row>
    <row r="92" spans="1:26">
      <c r="L92" s="1"/>
      <c r="M92" s="1"/>
      <c r="N92" s="1"/>
      <c r="O92" s="1"/>
      <c r="P92" s="1"/>
      <c r="Q92" s="1"/>
      <c r="R92" s="1"/>
    </row>
    <row r="130" spans="1:8">
      <c r="A130" s="3"/>
      <c r="C130" s="2"/>
      <c r="D130" s="2"/>
      <c r="E130" s="2"/>
      <c r="F130" s="2"/>
      <c r="G130" s="2"/>
      <c r="H130" s="2"/>
    </row>
    <row r="131" spans="1:8">
      <c r="A131" s="11"/>
      <c r="B131" s="11"/>
    </row>
    <row r="132" spans="1:8">
      <c r="A132" s="11"/>
      <c r="B132" s="11"/>
    </row>
    <row r="133" spans="1:8">
      <c r="A133" s="11"/>
      <c r="B133" s="11"/>
    </row>
    <row r="134" spans="1:8">
      <c r="A134" s="12"/>
      <c r="B134" s="12"/>
    </row>
    <row r="135" spans="1:8">
      <c r="A135" s="11"/>
      <c r="B135" s="11"/>
    </row>
    <row r="136" spans="1:8">
      <c r="A136" s="11"/>
      <c r="B136" s="11"/>
    </row>
    <row r="137" spans="1:8">
      <c r="A137" s="11"/>
      <c r="B137" s="11"/>
    </row>
    <row r="138" spans="1:8">
      <c r="A138" s="12"/>
      <c r="B138" s="12"/>
    </row>
    <row r="139" spans="1:8">
      <c r="A139" s="12"/>
      <c r="B139" s="12"/>
    </row>
    <row r="141" spans="1:8" ht="16">
      <c r="F141" s="8"/>
    </row>
    <row r="142" spans="1:8" ht="16">
      <c r="F142" s="8"/>
    </row>
    <row r="143" spans="1:8">
      <c r="A143" s="3"/>
      <c r="C143" s="2"/>
      <c r="D143" s="2"/>
      <c r="E143" s="2"/>
      <c r="F143" s="2"/>
      <c r="G143" s="2"/>
      <c r="H143" s="2"/>
    </row>
    <row r="144" spans="1:8" ht="16">
      <c r="A144" s="11"/>
      <c r="B144" s="11"/>
      <c r="F144" s="8"/>
    </row>
    <row r="145" spans="1:2">
      <c r="A145" s="11"/>
      <c r="B145" s="11"/>
    </row>
    <row r="146" spans="1:2">
      <c r="A146" s="12"/>
      <c r="B146" s="12"/>
    </row>
    <row r="147" spans="1:2">
      <c r="A147" s="11"/>
      <c r="B147" s="11"/>
    </row>
    <row r="148" spans="1:2">
      <c r="A148" s="11"/>
      <c r="B148" s="11"/>
    </row>
    <row r="149" spans="1:2">
      <c r="A149" s="11"/>
      <c r="B149" s="11"/>
    </row>
    <row r="150" spans="1:2">
      <c r="A150" s="12"/>
      <c r="B150" s="12"/>
    </row>
    <row r="151" spans="1:2">
      <c r="A151" s="12"/>
      <c r="B151" s="12"/>
    </row>
  </sheetData>
  <phoneticPr fontId="13" type="noConversion"/>
  <pageMargins left="0.75" right="0.75" top="1" bottom="1" header="0.51180555555555496" footer="0.51180555555555496"/>
  <pageSetup paperSize="9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58E57-A2DF-3445-AE75-8D354F3EF81B}">
  <dimension ref="A1:AMT151"/>
  <sheetViews>
    <sheetView tabSelected="1" zoomScale="75" zoomScaleNormal="40" workbookViewId="0">
      <selection activeCell="R88" sqref="R88"/>
    </sheetView>
  </sheetViews>
  <sheetFormatPr baseColWidth="10" defaultColWidth="8.83203125" defaultRowHeight="15"/>
  <cols>
    <col min="1" max="1" width="20.1640625" style="1" customWidth="1"/>
    <col min="2" max="2" width="13.5" style="1" customWidth="1"/>
    <col min="3" max="6" width="9.1640625" style="1" customWidth="1"/>
    <col min="7" max="11" width="11" style="1" customWidth="1"/>
    <col min="12" max="19" width="11" customWidth="1"/>
    <col min="20" max="20" width="12.33203125" customWidth="1"/>
    <col min="21" max="22" width="11" customWidth="1"/>
    <col min="23" max="1034" width="11" style="1" customWidth="1"/>
  </cols>
  <sheetData>
    <row r="1" spans="1:26">
      <c r="A1" s="44" t="s">
        <v>0</v>
      </c>
      <c r="B1" s="33" t="s">
        <v>1</v>
      </c>
      <c r="C1" s="37">
        <f>'Summary (line)'!D1</f>
      </c>
      <c r="D1" s="37"/>
      <c r="E1" s="53"/>
      <c r="F1" s="53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53"/>
      <c r="U1" s="53"/>
      <c r="V1" s="37"/>
      <c r="W1" s="37"/>
      <c r="X1" s="37"/>
      <c r="Y1" s="37"/>
      <c r="Z1" s="37"/>
    </row>
    <row r="2" spans="1:26" s="1" customFormat="1" ht="38">
      <c r="A2" s="46" t="s">
        <v>2</v>
      </c>
      <c r="B2" s="82" t="s">
        <v>3</v>
      </c>
      <c r="C2" s="30"/>
      <c r="D2" s="30"/>
      <c r="E2" s="30"/>
      <c r="F2" s="30"/>
      <c r="G2" s="83"/>
      <c r="H2" s="32"/>
      <c r="I2" s="32"/>
      <c r="J2" s="32"/>
      <c r="K2" s="32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s="1" customFormat="1" ht="38">
      <c r="A3" s="46" t="s">
        <v>4</v>
      </c>
      <c r="B3" s="82" t="s">
        <v>5</v>
      </c>
      <c r="C3" s="30"/>
      <c r="D3" s="30"/>
      <c r="E3" s="30"/>
      <c r="F3" s="30"/>
      <c r="G3" s="83"/>
      <c r="H3" s="32"/>
      <c r="I3" s="32"/>
      <c r="J3" s="32"/>
      <c r="K3" s="32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s="1" customFormat="1" ht="18">
      <c r="A4" s="101" t="s">
        <v>6</v>
      </c>
      <c r="B4" s="84" t="s">
        <v>7</v>
      </c>
      <c r="C4" s="30"/>
      <c r="D4" s="30"/>
      <c r="E4" s="30"/>
      <c r="F4" s="30"/>
      <c r="G4" s="83"/>
      <c r="H4" s="32"/>
      <c r="I4" s="32"/>
      <c r="J4" s="32"/>
      <c r="K4" s="32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s="1" customFormat="1" ht="38">
      <c r="A5" s="46" t="s">
        <v>8</v>
      </c>
      <c r="B5" s="82" t="s">
        <v>9</v>
      </c>
      <c r="C5" s="30"/>
      <c r="D5" s="30"/>
      <c r="E5" s="30"/>
      <c r="F5" s="30"/>
      <c r="G5" s="83"/>
      <c r="H5" s="32"/>
      <c r="I5" s="32"/>
      <c r="J5" s="32"/>
      <c r="K5" s="32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s="1" customFormat="1" ht="38">
      <c r="A6" s="46" t="s">
        <v>10</v>
      </c>
      <c r="B6" s="82" t="s">
        <v>11</v>
      </c>
      <c r="C6" s="30"/>
      <c r="D6" s="30"/>
      <c r="E6" s="30"/>
      <c r="F6" s="30"/>
      <c r="G6" s="83"/>
      <c r="H6" s="32"/>
      <c r="I6" s="32"/>
      <c r="J6" s="32"/>
      <c r="K6" s="3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s="1" customFormat="1" ht="38">
      <c r="A7" s="46" t="s">
        <v>12</v>
      </c>
      <c r="B7" s="82" t="s">
        <v>13</v>
      </c>
      <c r="C7" s="30"/>
      <c r="D7" s="30"/>
      <c r="E7" s="30"/>
      <c r="F7" s="30"/>
      <c r="G7" s="83"/>
      <c r="H7" s="32"/>
      <c r="I7" s="32"/>
      <c r="J7" s="32"/>
      <c r="K7" s="3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s="1" customFormat="1" ht="38">
      <c r="A8" s="46" t="s">
        <v>14</v>
      </c>
      <c r="B8" s="82" t="s">
        <v>15</v>
      </c>
      <c r="C8" s="30"/>
      <c r="D8" s="30"/>
      <c r="E8" s="30"/>
      <c r="F8" s="30"/>
      <c r="G8" s="63"/>
      <c r="H8" s="32"/>
      <c r="I8" s="32"/>
      <c r="J8" s="32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s="1" customFormat="1" ht="38">
      <c r="A9" s="46" t="s">
        <v>16</v>
      </c>
      <c r="B9" s="82" t="s">
        <v>17</v>
      </c>
      <c r="C9" s="30"/>
      <c r="D9" s="30"/>
      <c r="E9" s="30"/>
      <c r="F9" s="30"/>
      <c r="G9" s="85"/>
      <c r="H9" s="32"/>
      <c r="I9" s="32"/>
      <c r="J9" s="32"/>
      <c r="K9" s="32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s="1" customFormat="1" ht="38">
      <c r="A10" s="45" t="s">
        <v>18</v>
      </c>
      <c r="B10" s="86" t="s">
        <v>19</v>
      </c>
      <c r="C10" s="30"/>
      <c r="D10" s="30"/>
      <c r="E10" s="30"/>
      <c r="F10" s="30"/>
      <c r="G10" s="83"/>
      <c r="H10" s="31"/>
      <c r="I10" s="32"/>
      <c r="J10" s="32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s="1" customFormat="1" ht="38">
      <c r="A11" s="45" t="s">
        <v>20</v>
      </c>
      <c r="B11" s="86" t="s">
        <v>21</v>
      </c>
      <c r="C11" s="30"/>
      <c r="D11" s="30"/>
      <c r="E11" s="30"/>
      <c r="F11" s="30"/>
      <c r="G11" s="83"/>
      <c r="H11" s="31"/>
      <c r="I11" s="32"/>
      <c r="J11" s="32"/>
      <c r="K11" s="32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">
      <c r="A12" s="35"/>
      <c r="B12" s="35"/>
      <c r="F12" s="8"/>
    </row>
    <row r="13" spans="1:26">
      <c r="A13" s="44" t="s">
        <v>0</v>
      </c>
      <c r="B13" s="33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38">
      <c r="A14" s="46" t="s">
        <v>2</v>
      </c>
      <c r="B14" s="82" t="s">
        <v>3</v>
      </c>
      <c r="C14" s="31"/>
      <c r="D14" s="31"/>
      <c r="E14" s="31"/>
      <c r="F14" s="31"/>
      <c r="G14" s="83"/>
      <c r="H14" s="31"/>
      <c r="I14" s="31"/>
      <c r="J14" s="31"/>
      <c r="K14" s="31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1"/>
      <c r="X14" s="31"/>
      <c r="Y14" s="31"/>
      <c r="Z14" s="31"/>
    </row>
    <row r="15" spans="1:26" ht="38">
      <c r="A15" s="46" t="s">
        <v>4</v>
      </c>
      <c r="B15" s="82" t="s">
        <v>5</v>
      </c>
      <c r="C15" s="31"/>
      <c r="D15" s="31"/>
      <c r="E15" s="31"/>
      <c r="F15" s="31"/>
      <c r="G15" s="83"/>
      <c r="H15" s="31"/>
      <c r="I15" s="31"/>
      <c r="J15" s="31"/>
      <c r="K15" s="31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1"/>
      <c r="X15" s="31"/>
      <c r="Y15" s="31"/>
      <c r="Z15" s="31"/>
    </row>
    <row r="16" spans="1:26" s="1" customFormat="1" ht="18">
      <c r="A16" s="101" t="s">
        <v>6</v>
      </c>
      <c r="B16" s="84" t="s">
        <v>7</v>
      </c>
      <c r="C16" s="31"/>
      <c r="D16" s="31"/>
      <c r="E16" s="31"/>
      <c r="F16" s="31"/>
      <c r="G16" s="83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s="1" customFormat="1" ht="38">
      <c r="A17" s="46" t="s">
        <v>8</v>
      </c>
      <c r="B17" s="82" t="s">
        <v>9</v>
      </c>
      <c r="C17" s="31"/>
      <c r="D17" s="31"/>
      <c r="E17" s="31"/>
      <c r="F17" s="31"/>
      <c r="G17" s="83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s="1" customFormat="1" ht="38">
      <c r="A18" s="46" t="s">
        <v>10</v>
      </c>
      <c r="B18" s="82" t="s">
        <v>11</v>
      </c>
      <c r="C18" s="31"/>
      <c r="D18" s="31"/>
      <c r="E18" s="31"/>
      <c r="F18" s="31"/>
      <c r="G18" s="83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s="1" customFormat="1" ht="38">
      <c r="A19" s="46" t="s">
        <v>12</v>
      </c>
      <c r="B19" s="82" t="s">
        <v>13</v>
      </c>
      <c r="C19" s="31"/>
      <c r="D19" s="31"/>
      <c r="E19" s="31"/>
      <c r="F19" s="31"/>
      <c r="G19" s="83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s="1" customFormat="1" ht="38">
      <c r="A20" s="46" t="s">
        <v>14</v>
      </c>
      <c r="B20" s="82" t="s">
        <v>15</v>
      </c>
      <c r="C20" s="31"/>
      <c r="D20" s="31"/>
      <c r="E20" s="31"/>
      <c r="F20" s="31"/>
      <c r="G20" s="63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1" customFormat="1" ht="38">
      <c r="A21" s="46" t="s">
        <v>16</v>
      </c>
      <c r="B21" s="82" t="s">
        <v>17</v>
      </c>
      <c r="C21" s="31"/>
      <c r="D21" s="31"/>
      <c r="E21" s="31"/>
      <c r="F21" s="31"/>
      <c r="G21" s="85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s="1" customFormat="1" ht="38">
      <c r="A22" s="45" t="s">
        <v>18</v>
      </c>
      <c r="B22" s="86" t="s">
        <v>19</v>
      </c>
      <c r="C22" s="31"/>
      <c r="D22" s="31"/>
      <c r="E22" s="31"/>
      <c r="F22" s="31"/>
      <c r="G22" s="8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s="1" customFormat="1" ht="38">
      <c r="A23" s="45" t="s">
        <v>20</v>
      </c>
      <c r="B23" s="86" t="s">
        <v>21</v>
      </c>
      <c r="C23" s="31"/>
      <c r="D23" s="31"/>
      <c r="E23" s="31"/>
      <c r="F23" s="31"/>
      <c r="G23" s="83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s="1" customFormat="1"/>
    <row r="61" spans="1:8">
      <c r="A61" s="3"/>
      <c r="C61" s="2"/>
      <c r="D61" s="2"/>
      <c r="E61" s="2"/>
      <c r="F61" s="2"/>
      <c r="G61" s="2"/>
      <c r="H61" s="2"/>
    </row>
    <row r="62" spans="1:8">
      <c r="A62" s="11"/>
      <c r="B62" s="11"/>
    </row>
    <row r="63" spans="1:8">
      <c r="A63" s="11"/>
      <c r="B63" s="11"/>
    </row>
    <row r="64" spans="1:8">
      <c r="A64" s="11"/>
      <c r="B64" s="11"/>
    </row>
    <row r="65" spans="1:26" s="1" customFormat="1"/>
    <row r="68" spans="1:26">
      <c r="A68" s="44" t="s">
        <v>22</v>
      </c>
      <c r="B68" s="33"/>
      <c r="C68" s="53"/>
      <c r="D68" s="53"/>
      <c r="E68" s="53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53"/>
      <c r="T68" s="53"/>
      <c r="U68" s="53"/>
      <c r="V68" s="37"/>
      <c r="W68" s="37"/>
      <c r="X68" s="37"/>
      <c r="Y68" s="37"/>
      <c r="Z68" s="37"/>
    </row>
    <row r="69" spans="1:26" ht="38">
      <c r="A69" s="46" t="s">
        <v>2</v>
      </c>
      <c r="B69" s="82" t="s">
        <v>3</v>
      </c>
      <c r="C69" s="30"/>
      <c r="D69" s="30"/>
      <c r="E69" s="30"/>
      <c r="F69" s="83"/>
      <c r="G69" s="30"/>
      <c r="H69" s="31"/>
      <c r="I69" s="32"/>
      <c r="J69" s="31"/>
      <c r="K69" s="31"/>
      <c r="L69" s="31"/>
      <c r="M69" s="31"/>
      <c r="N69" s="31"/>
      <c r="O69" s="31"/>
      <c r="P69" s="31"/>
      <c r="Q69" s="31"/>
      <c r="R69" s="31"/>
      <c r="S69" s="29"/>
      <c r="T69" s="29"/>
      <c r="U69" s="31"/>
      <c r="V69" s="29"/>
      <c r="W69" s="31"/>
      <c r="X69" s="31"/>
      <c r="Y69" s="31"/>
      <c r="Z69" s="31"/>
    </row>
    <row r="70" spans="1:26" ht="38">
      <c r="A70" s="46" t="s">
        <v>4</v>
      </c>
      <c r="B70" s="82" t="s">
        <v>5</v>
      </c>
      <c r="C70" s="30"/>
      <c r="D70" s="30"/>
      <c r="E70" s="30"/>
      <c r="F70" s="83"/>
      <c r="G70" s="30"/>
      <c r="H70" s="31"/>
      <c r="I70" s="32"/>
      <c r="J70" s="31"/>
      <c r="K70" s="31"/>
      <c r="L70" s="31"/>
      <c r="M70" s="31"/>
      <c r="N70" s="31"/>
      <c r="O70" s="31"/>
      <c r="P70" s="31"/>
      <c r="Q70" s="31"/>
      <c r="R70" s="31"/>
      <c r="S70" s="29"/>
      <c r="T70" s="29"/>
      <c r="U70" s="31"/>
      <c r="V70" s="29"/>
      <c r="W70" s="31"/>
      <c r="X70" s="31"/>
      <c r="Y70" s="31"/>
      <c r="Z70" s="31"/>
    </row>
    <row r="71" spans="1:26" ht="18">
      <c r="A71" s="101" t="s">
        <v>6</v>
      </c>
      <c r="B71" s="84" t="s">
        <v>7</v>
      </c>
      <c r="C71" s="30"/>
      <c r="D71" s="30"/>
      <c r="E71" s="30"/>
      <c r="F71" s="83"/>
      <c r="G71" s="30"/>
      <c r="H71" s="31"/>
      <c r="I71" s="32"/>
      <c r="J71" s="31"/>
      <c r="K71" s="31"/>
      <c r="L71" s="31"/>
      <c r="M71" s="31"/>
      <c r="N71" s="31"/>
      <c r="O71" s="31"/>
      <c r="P71" s="31"/>
      <c r="Q71" s="31"/>
      <c r="R71" s="31"/>
      <c r="S71" s="29"/>
      <c r="T71" s="29"/>
      <c r="U71" s="31"/>
      <c r="V71" s="29"/>
      <c r="W71" s="31"/>
      <c r="X71" s="31"/>
      <c r="Y71" s="31"/>
      <c r="Z71" s="31"/>
    </row>
    <row r="72" spans="1:26" ht="38">
      <c r="A72" s="46" t="s">
        <v>8</v>
      </c>
      <c r="B72" s="82" t="s">
        <v>9</v>
      </c>
      <c r="C72" s="30"/>
      <c r="D72" s="30"/>
      <c r="E72" s="30"/>
      <c r="F72" s="83"/>
      <c r="G72" s="30"/>
      <c r="H72" s="31"/>
      <c r="I72" s="32"/>
      <c r="J72" s="31"/>
      <c r="K72" s="31"/>
      <c r="L72" s="31"/>
      <c r="M72" s="31"/>
      <c r="N72" s="31"/>
      <c r="O72" s="31"/>
      <c r="P72" s="31"/>
      <c r="Q72" s="31"/>
      <c r="R72" s="31"/>
      <c r="S72" s="29"/>
      <c r="T72" s="29"/>
      <c r="U72" s="31"/>
      <c r="V72" s="29"/>
      <c r="W72" s="31"/>
      <c r="X72" s="31"/>
      <c r="Y72" s="31"/>
      <c r="Z72" s="31"/>
    </row>
    <row r="73" spans="1:26" ht="38">
      <c r="A73" s="46" t="s">
        <v>10</v>
      </c>
      <c r="B73" s="82" t="s">
        <v>11</v>
      </c>
      <c r="C73" s="30"/>
      <c r="D73" s="30"/>
      <c r="E73" s="30"/>
      <c r="F73" s="83"/>
      <c r="G73" s="30"/>
      <c r="H73" s="31"/>
      <c r="I73" s="32"/>
      <c r="J73" s="31"/>
      <c r="K73" s="31"/>
      <c r="L73" s="31"/>
      <c r="M73" s="31"/>
      <c r="N73" s="31"/>
      <c r="O73" s="31"/>
      <c r="P73" s="31"/>
      <c r="Q73" s="31"/>
      <c r="R73" s="31"/>
      <c r="S73" s="29"/>
      <c r="T73" s="29"/>
      <c r="U73" s="31"/>
      <c r="V73" s="29"/>
      <c r="W73" s="31"/>
      <c r="X73" s="31"/>
      <c r="Y73" s="31"/>
      <c r="Z73" s="31"/>
    </row>
    <row r="74" spans="1:26" ht="38">
      <c r="A74" s="46" t="s">
        <v>12</v>
      </c>
      <c r="B74" s="82" t="s">
        <v>13</v>
      </c>
      <c r="C74" s="30"/>
      <c r="D74" s="30"/>
      <c r="E74" s="30"/>
      <c r="F74" s="83"/>
      <c r="G74" s="30"/>
      <c r="H74" s="31"/>
      <c r="I74" s="32"/>
      <c r="J74" s="31"/>
      <c r="K74" s="31"/>
      <c r="L74" s="31"/>
      <c r="M74" s="31"/>
      <c r="N74" s="31"/>
      <c r="O74" s="31"/>
      <c r="P74" s="31"/>
      <c r="Q74" s="31"/>
      <c r="R74" s="31"/>
      <c r="S74" s="29"/>
      <c r="T74" s="29"/>
      <c r="U74" s="31"/>
      <c r="V74" s="29"/>
      <c r="W74" s="31"/>
      <c r="X74" s="31"/>
      <c r="Y74" s="31"/>
      <c r="Z74" s="31"/>
    </row>
    <row r="75" spans="1:26" ht="38">
      <c r="A75" s="46" t="s">
        <v>14</v>
      </c>
      <c r="B75" s="82" t="s">
        <v>15</v>
      </c>
      <c r="C75" s="30"/>
      <c r="D75" s="30"/>
      <c r="E75" s="30"/>
      <c r="F75" s="63"/>
      <c r="G75" s="30"/>
      <c r="H75" s="31"/>
      <c r="I75" s="32"/>
      <c r="J75" s="31"/>
      <c r="K75" s="31"/>
      <c r="L75" s="31"/>
      <c r="M75" s="31"/>
      <c r="N75" s="31"/>
      <c r="O75" s="31"/>
      <c r="P75" s="31"/>
      <c r="Q75" s="31"/>
      <c r="R75" s="31"/>
      <c r="S75" s="29"/>
      <c r="T75" s="29"/>
      <c r="U75" s="31"/>
      <c r="V75" s="29"/>
      <c r="W75" s="31"/>
      <c r="X75" s="31"/>
      <c r="Y75" s="31"/>
      <c r="Z75" s="31"/>
    </row>
    <row r="76" spans="1:26" ht="38">
      <c r="A76" s="46" t="s">
        <v>16</v>
      </c>
      <c r="B76" s="82" t="s">
        <v>17</v>
      </c>
      <c r="C76" s="30"/>
      <c r="D76" s="30"/>
      <c r="E76" s="30"/>
      <c r="F76" s="85"/>
      <c r="G76" s="30"/>
      <c r="H76" s="31"/>
      <c r="I76" s="32"/>
      <c r="J76" s="31"/>
      <c r="K76" s="31"/>
      <c r="L76" s="31"/>
      <c r="M76" s="31"/>
      <c r="N76" s="31"/>
      <c r="O76" s="31"/>
      <c r="P76" s="31"/>
      <c r="Q76" s="31"/>
      <c r="R76" s="31"/>
      <c r="S76" s="29"/>
      <c r="T76" s="29"/>
      <c r="U76" s="31"/>
      <c r="V76" s="29"/>
      <c r="W76" s="31"/>
      <c r="X76" s="31"/>
      <c r="Y76" s="31"/>
      <c r="Z76" s="31"/>
    </row>
    <row r="77" spans="1:26" ht="38">
      <c r="A77" s="45" t="s">
        <v>18</v>
      </c>
      <c r="B77" s="86" t="s">
        <v>19</v>
      </c>
      <c r="C77" s="30"/>
      <c r="D77" s="30"/>
      <c r="E77" s="30"/>
      <c r="F77" s="83"/>
      <c r="G77" s="30"/>
      <c r="H77" s="31"/>
      <c r="I77" s="32"/>
      <c r="J77" s="31"/>
      <c r="K77" s="31"/>
      <c r="L77" s="31"/>
      <c r="M77" s="31"/>
      <c r="N77" s="31"/>
      <c r="O77" s="31"/>
      <c r="P77" s="31"/>
      <c r="Q77" s="31"/>
      <c r="R77" s="31"/>
      <c r="S77" s="29"/>
      <c r="T77" s="29"/>
      <c r="U77" s="31"/>
      <c r="V77" s="29"/>
      <c r="W77" s="31"/>
      <c r="X77" s="31"/>
      <c r="Y77" s="31"/>
      <c r="Z77" s="31"/>
    </row>
    <row r="78" spans="1:26" ht="38">
      <c r="A78" s="45" t="s">
        <v>20</v>
      </c>
      <c r="B78" s="86" t="s">
        <v>21</v>
      </c>
      <c r="C78" s="30"/>
      <c r="D78" s="30"/>
      <c r="E78" s="30"/>
      <c r="F78" s="83"/>
      <c r="G78" s="30"/>
      <c r="H78" s="31"/>
      <c r="I78" s="32"/>
      <c r="J78" s="31"/>
      <c r="K78" s="31"/>
      <c r="L78" s="31"/>
      <c r="M78" s="31"/>
      <c r="N78" s="31"/>
      <c r="O78" s="31"/>
      <c r="P78" s="31"/>
      <c r="Q78" s="31"/>
      <c r="R78" s="31"/>
      <c r="S78" s="29"/>
      <c r="T78" s="29"/>
      <c r="U78" s="31"/>
      <c r="V78" s="29"/>
      <c r="W78" s="31"/>
      <c r="X78" s="31"/>
      <c r="Y78" s="31"/>
      <c r="Z78" s="31"/>
    </row>
    <row r="79" spans="1:26">
      <c r="A79" s="50"/>
      <c r="B79" s="50"/>
      <c r="C79" s="47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7"/>
      <c r="T79" s="47"/>
      <c r="V79" s="47"/>
      <c r="W79" s="48"/>
      <c r="X79" s="48"/>
      <c r="Y79" s="48"/>
      <c r="Z79" s="48"/>
    </row>
    <row r="80" spans="1:26">
      <c r="A80" s="44" t="s">
        <v>22</v>
      </c>
      <c r="B80" s="34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39"/>
      <c r="V80" s="49"/>
      <c r="W80" s="49"/>
      <c r="X80" s="49"/>
      <c r="Y80" s="49"/>
      <c r="Z80" s="49"/>
    </row>
    <row r="81" spans="1:26" ht="38">
      <c r="A81" s="46" t="s">
        <v>2</v>
      </c>
      <c r="B81" s="82" t="s">
        <v>3</v>
      </c>
      <c r="C81" s="31"/>
      <c r="D81" s="31"/>
      <c r="E81" s="31"/>
      <c r="F81" s="83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29"/>
      <c r="T81" s="29"/>
      <c r="U81" s="29"/>
      <c r="V81" s="29"/>
      <c r="W81" s="31"/>
      <c r="X81" s="31"/>
      <c r="Y81" s="31"/>
      <c r="Z81" s="31"/>
    </row>
    <row r="82" spans="1:26" ht="38">
      <c r="A82" s="46" t="s">
        <v>4</v>
      </c>
      <c r="B82" s="82" t="s">
        <v>5</v>
      </c>
      <c r="C82" s="31"/>
      <c r="D82" s="31"/>
      <c r="E82" s="31"/>
      <c r="F82" s="83"/>
      <c r="G82" s="31"/>
      <c r="H82" s="31"/>
      <c r="I82" s="32"/>
      <c r="J82" s="31"/>
      <c r="K82" s="31"/>
      <c r="L82" s="31"/>
      <c r="M82" s="31"/>
      <c r="N82" s="31"/>
      <c r="O82" s="31"/>
      <c r="P82" s="31"/>
      <c r="Q82" s="31"/>
      <c r="R82" s="31"/>
      <c r="S82" s="29"/>
      <c r="T82" s="29"/>
      <c r="U82" s="29"/>
      <c r="V82" s="29"/>
      <c r="W82" s="31"/>
      <c r="X82" s="31"/>
      <c r="Y82" s="31"/>
      <c r="Z82" s="31"/>
    </row>
    <row r="83" spans="1:26" ht="18">
      <c r="A83" s="101" t="s">
        <v>6</v>
      </c>
      <c r="B83" s="84" t="s">
        <v>7</v>
      </c>
      <c r="C83" s="31"/>
      <c r="D83" s="31"/>
      <c r="E83" s="31"/>
      <c r="F83" s="83"/>
      <c r="G83" s="31"/>
      <c r="H83" s="31"/>
      <c r="I83" s="32"/>
      <c r="J83" s="31"/>
      <c r="K83" s="31"/>
      <c r="L83" s="31"/>
      <c r="M83" s="31"/>
      <c r="N83" s="31"/>
      <c r="O83" s="31"/>
      <c r="P83" s="31"/>
      <c r="Q83" s="31"/>
      <c r="R83" s="31"/>
      <c r="S83" s="29"/>
      <c r="T83" s="29"/>
      <c r="U83" s="31"/>
      <c r="V83" s="29"/>
      <c r="W83" s="31"/>
      <c r="X83" s="31"/>
      <c r="Y83" s="31"/>
      <c r="Z83" s="31"/>
    </row>
    <row r="84" spans="1:26" ht="38">
      <c r="A84" s="46" t="s">
        <v>8</v>
      </c>
      <c r="B84" s="82" t="s">
        <v>9</v>
      </c>
      <c r="C84" s="31"/>
      <c r="D84" s="31"/>
      <c r="E84" s="31"/>
      <c r="F84" s="83"/>
      <c r="G84" s="31"/>
      <c r="H84" s="31"/>
      <c r="I84" s="32"/>
      <c r="J84" s="31"/>
      <c r="K84" s="31"/>
      <c r="L84" s="31"/>
      <c r="M84" s="31"/>
      <c r="N84" s="31"/>
      <c r="O84" s="31"/>
      <c r="P84" s="31"/>
      <c r="Q84" s="31"/>
      <c r="R84" s="31"/>
      <c r="S84" s="29"/>
      <c r="T84" s="29"/>
      <c r="U84" s="31"/>
      <c r="V84" s="29"/>
      <c r="W84" s="31"/>
      <c r="X84" s="31"/>
      <c r="Y84" s="31"/>
      <c r="Z84" s="31"/>
    </row>
    <row r="85" spans="1:26" ht="38">
      <c r="A85" s="46" t="s">
        <v>10</v>
      </c>
      <c r="B85" s="82" t="s">
        <v>11</v>
      </c>
      <c r="C85" s="31"/>
      <c r="D85" s="31"/>
      <c r="E85" s="31"/>
      <c r="F85" s="83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29"/>
      <c r="T85" s="29"/>
      <c r="U85" s="31"/>
      <c r="V85" s="29"/>
      <c r="W85" s="31"/>
      <c r="X85" s="31"/>
      <c r="Y85" s="31"/>
      <c r="Z85" s="31"/>
    </row>
    <row r="86" spans="1:26" ht="38">
      <c r="A86" s="46" t="s">
        <v>12</v>
      </c>
      <c r="B86" s="82" t="s">
        <v>13</v>
      </c>
      <c r="C86" s="31"/>
      <c r="D86" s="31"/>
      <c r="E86" s="31"/>
      <c r="F86" s="83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29"/>
      <c r="T86" s="29"/>
      <c r="U86" s="31"/>
      <c r="V86" s="29"/>
      <c r="W86" s="31"/>
      <c r="X86" s="31"/>
      <c r="Y86" s="31"/>
      <c r="Z86" s="31"/>
    </row>
    <row r="87" spans="1:26" ht="38">
      <c r="A87" s="46" t="s">
        <v>14</v>
      </c>
      <c r="B87" s="82" t="s">
        <v>15</v>
      </c>
      <c r="C87" s="31"/>
      <c r="D87" s="31"/>
      <c r="E87" s="31"/>
      <c r="F87" s="63"/>
      <c r="G87" s="31"/>
      <c r="H87" s="31"/>
      <c r="I87" s="32"/>
      <c r="J87" s="31"/>
      <c r="K87" s="31"/>
      <c r="L87" s="31"/>
      <c r="M87" s="31"/>
      <c r="N87" s="31"/>
      <c r="O87" s="31"/>
      <c r="P87" s="31"/>
      <c r="Q87" s="31"/>
      <c r="R87" s="31"/>
      <c r="S87" s="29"/>
      <c r="T87" s="29"/>
      <c r="U87" s="31"/>
      <c r="V87" s="29"/>
      <c r="W87" s="31"/>
      <c r="X87" s="31"/>
      <c r="Y87" s="31"/>
      <c r="Z87" s="31"/>
    </row>
    <row r="88" spans="1:26" ht="38">
      <c r="A88" s="46" t="s">
        <v>16</v>
      </c>
      <c r="B88" s="82" t="s">
        <v>17</v>
      </c>
      <c r="C88" s="31"/>
      <c r="D88" s="31"/>
      <c r="E88" s="31"/>
      <c r="F88" s="85"/>
      <c r="G88" s="31"/>
      <c r="H88" s="31"/>
      <c r="I88" s="32"/>
      <c r="J88" s="31"/>
      <c r="K88" s="31"/>
      <c r="L88" s="31"/>
      <c r="M88" s="31"/>
      <c r="N88" s="31"/>
      <c r="O88" s="31"/>
      <c r="P88" s="31"/>
      <c r="Q88" s="31"/>
      <c r="R88" s="31"/>
      <c r="S88" s="29"/>
      <c r="T88" s="29"/>
      <c r="U88" s="31"/>
      <c r="V88" s="29"/>
      <c r="W88" s="31"/>
      <c r="X88" s="31"/>
      <c r="Y88" s="31"/>
      <c r="Z88" s="31"/>
    </row>
    <row r="89" spans="1:26" ht="38">
      <c r="A89" s="45" t="s">
        <v>18</v>
      </c>
      <c r="B89" s="86" t="s">
        <v>19</v>
      </c>
      <c r="C89" s="31"/>
      <c r="D89" s="31"/>
      <c r="E89" s="31"/>
      <c r="F89" s="83"/>
      <c r="G89" s="31"/>
      <c r="H89" s="31"/>
      <c r="I89" s="32"/>
      <c r="J89" s="31"/>
      <c r="K89" s="31"/>
      <c r="L89" s="31"/>
      <c r="M89" s="31"/>
      <c r="N89" s="31"/>
      <c r="O89" s="31"/>
      <c r="P89" s="31"/>
      <c r="Q89" s="31"/>
      <c r="R89" s="31"/>
      <c r="S89" s="29"/>
      <c r="T89" s="29"/>
      <c r="U89" s="31"/>
      <c r="V89" s="29"/>
      <c r="W89" s="31"/>
      <c r="X89" s="31"/>
      <c r="Y89" s="31"/>
      <c r="Z89" s="31"/>
    </row>
    <row r="90" spans="1:26" ht="38">
      <c r="A90" s="45" t="s">
        <v>20</v>
      </c>
      <c r="B90" s="86" t="s">
        <v>21</v>
      </c>
      <c r="C90" s="31"/>
      <c r="D90" s="31"/>
      <c r="E90" s="31"/>
      <c r="F90" s="83"/>
      <c r="G90" s="31"/>
      <c r="H90" s="31"/>
      <c r="I90" s="32"/>
      <c r="J90" s="31"/>
      <c r="K90" s="31"/>
      <c r="L90" s="31"/>
      <c r="M90" s="31"/>
      <c r="N90" s="31"/>
      <c r="O90" s="31"/>
      <c r="P90" s="31"/>
      <c r="Q90" s="31"/>
      <c r="R90" s="31"/>
      <c r="S90" s="29"/>
      <c r="T90" s="29"/>
      <c r="U90" s="31"/>
      <c r="V90" s="29"/>
      <c r="W90" s="31"/>
      <c r="X90" s="31"/>
      <c r="Y90" s="31"/>
      <c r="Z90" s="31"/>
    </row>
    <row r="91" spans="1:26">
      <c r="L91" s="1"/>
      <c r="M91" s="1"/>
      <c r="N91" s="1"/>
      <c r="O91" s="1"/>
      <c r="P91" s="1"/>
      <c r="Q91" s="1"/>
      <c r="R91" s="1"/>
    </row>
    <row r="92" spans="1:26">
      <c r="L92" s="1"/>
      <c r="M92" s="1"/>
      <c r="N92" s="1"/>
      <c r="O92" s="1"/>
      <c r="P92" s="1"/>
      <c r="Q92" s="1"/>
      <c r="R92" s="1"/>
    </row>
    <row r="130" spans="1:8">
      <c r="A130" s="3"/>
      <c r="C130" s="2"/>
      <c r="D130" s="2"/>
      <c r="E130" s="2"/>
      <c r="F130" s="2"/>
      <c r="G130" s="2"/>
      <c r="H130" s="2"/>
    </row>
    <row r="131" spans="1:8">
      <c r="A131" s="11"/>
      <c r="B131" s="11"/>
    </row>
    <row r="132" spans="1:8">
      <c r="A132" s="11"/>
      <c r="B132" s="11"/>
    </row>
    <row r="133" spans="1:8">
      <c r="A133" s="11"/>
      <c r="B133" s="11"/>
    </row>
    <row r="134" spans="1:8">
      <c r="A134" s="12"/>
      <c r="B134" s="12"/>
    </row>
    <row r="135" spans="1:8">
      <c r="A135" s="11"/>
      <c r="B135" s="11"/>
    </row>
    <row r="136" spans="1:8">
      <c r="A136" s="11"/>
      <c r="B136" s="11"/>
    </row>
    <row r="137" spans="1:8">
      <c r="A137" s="11"/>
      <c r="B137" s="11"/>
    </row>
    <row r="138" spans="1:8">
      <c r="A138" s="12"/>
      <c r="B138" s="12"/>
    </row>
    <row r="139" spans="1:8">
      <c r="A139" s="12"/>
      <c r="B139" s="12"/>
    </row>
    <row r="141" spans="1:8" ht="16">
      <c r="F141" s="8"/>
    </row>
    <row r="142" spans="1:8" ht="16">
      <c r="F142" s="8"/>
    </row>
    <row r="143" spans="1:8">
      <c r="A143" s="3"/>
      <c r="C143" s="2"/>
      <c r="D143" s="2"/>
      <c r="E143" s="2"/>
      <c r="F143" s="2"/>
      <c r="G143" s="2"/>
      <c r="H143" s="2"/>
    </row>
    <row r="144" spans="1:8" ht="16">
      <c r="A144" s="11"/>
      <c r="B144" s="11"/>
      <c r="F144" s="8"/>
    </row>
    <row r="145" spans="1:2">
      <c r="A145" s="11"/>
      <c r="B145" s="11"/>
    </row>
    <row r="146" spans="1:2">
      <c r="A146" s="12"/>
      <c r="B146" s="12"/>
    </row>
    <row r="147" spans="1:2">
      <c r="A147" s="11"/>
      <c r="B147" s="11"/>
    </row>
    <row r="148" spans="1:2">
      <c r="A148" s="11"/>
      <c r="B148" s="11"/>
    </row>
    <row r="149" spans="1:2">
      <c r="A149" s="11"/>
      <c r="B149" s="11"/>
    </row>
    <row r="150" spans="1:2">
      <c r="A150" s="12"/>
      <c r="B150" s="12"/>
    </row>
    <row r="151" spans="1:2">
      <c r="A151" s="12"/>
      <c r="B151" s="12"/>
    </row>
  </sheetData>
  <phoneticPr fontId="13" type="noConversion"/>
  <pageMargins left="0.75" right="0.75" top="1" bottom="1" header="0.51180555555555496" footer="0.51180555555555496"/>
  <pageSetup paperSize="9" firstPageNumber="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6"/>
  <dimension ref="A1:AMU151"/>
  <sheetViews>
    <sheetView topLeftCell="A71" zoomScale="66" zoomScaleNormal="70" workbookViewId="0">
      <selection activeCell="V67" sqref="V67"/>
    </sheetView>
  </sheetViews>
  <sheetFormatPr baseColWidth="10" defaultColWidth="8.83203125" defaultRowHeight="15"/>
  <cols>
    <col min="1" max="1" width="20.1640625" style="1" customWidth="1"/>
    <col min="2" max="2" width="13.5" style="1" customWidth="1"/>
    <col min="3" max="6" width="9.1640625" style="1" customWidth="1"/>
    <col min="7" max="11" width="11" style="1" customWidth="1"/>
    <col min="12" max="20" width="11" customWidth="1"/>
    <col min="21" max="21" width="15.5" customWidth="1"/>
    <col min="22" max="23" width="11" customWidth="1"/>
    <col min="24" max="28" width="11" style="1" customWidth="1"/>
    <col min="29" max="29" width="13" style="1" bestFit="1" customWidth="1"/>
    <col min="30" max="1035" width="11" style="1" customWidth="1"/>
  </cols>
  <sheetData>
    <row r="1" spans="1:26">
      <c r="A1" s="44" t="s">
        <v>0</v>
      </c>
      <c r="B1" s="39"/>
      <c r="C1" s="36"/>
      <c r="D1" s="36"/>
      <c r="E1" s="36"/>
      <c r="F1" s="36"/>
      <c r="G1" s="36"/>
      <c r="H1" s="36"/>
      <c r="I1" s="37"/>
      <c r="J1" s="37"/>
      <c r="K1" s="37"/>
      <c r="L1" s="37"/>
      <c r="M1" s="37"/>
      <c r="N1" s="37"/>
      <c r="O1" s="37">
        <f>'Summary (fish)'!O1</f>
      </c>
      <c r="P1" s="37">
        <f>'Summary (fish)'!P1</f>
      </c>
      <c r="Q1" s="37">
        <f>'Summary (fish)'!Q1</f>
      </c>
      <c r="R1" s="37">
        <f>'Summary (fish)'!R1</f>
      </c>
      <c r="S1" s="37"/>
      <c r="T1" s="37"/>
      <c r="U1" s="53"/>
      <c r="V1" s="37"/>
      <c r="W1" s="38"/>
      <c r="X1" s="39"/>
      <c r="Y1" s="39"/>
      <c r="Z1" s="39"/>
    </row>
    <row r="2" spans="1:26" s="1" customFormat="1" ht="16">
      <c r="A2" s="46" t="s">
        <v>23</v>
      </c>
      <c r="B2" s="46" t="s">
        <v>24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s="1" customFormat="1" ht="16">
      <c r="A3" s="46" t="s">
        <v>25</v>
      </c>
      <c r="B3" s="46" t="s">
        <v>26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s="1" customFormat="1" ht="16">
      <c r="A4" s="46" t="s">
        <v>27</v>
      </c>
      <c r="B4" s="46" t="s">
        <v>28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s="1" customFormat="1">
      <c r="A5" s="45" t="s">
        <v>29</v>
      </c>
      <c r="B5" s="45" t="s">
        <v>30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s="1" customFormat="1" ht="16">
      <c r="A6" s="46" t="s">
        <v>31</v>
      </c>
      <c r="B6" s="46" t="s">
        <v>32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s="1" customFormat="1" ht="16">
      <c r="A7" s="46" t="s">
        <v>33</v>
      </c>
      <c r="B7" s="46" t="s">
        <v>34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s="1" customFormat="1" ht="16">
      <c r="A8" s="46" t="s">
        <v>35</v>
      </c>
      <c r="B8" s="46" t="s">
        <v>36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s="1" customFormat="1">
      <c r="A9" s="45" t="s">
        <v>37</v>
      </c>
      <c r="B9" s="45" t="s">
        <v>38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s="1" customFormat="1">
      <c r="A10" s="45" t="s">
        <v>39</v>
      </c>
      <c r="B10" s="45" t="s">
        <v>40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s="1" customFormat="1">
      <c r="A11" s="33" t="s">
        <v>41</v>
      </c>
      <c r="B11" s="33" t="s">
        <v>42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">
      <c r="A12" s="31"/>
      <c r="B12" s="31"/>
      <c r="C12" s="31"/>
      <c r="D12" s="31"/>
      <c r="E12" s="31"/>
      <c r="F12" s="51"/>
      <c r="G12" s="31"/>
      <c r="H12" s="31"/>
      <c r="I12" s="31"/>
      <c r="J12" s="31"/>
      <c r="K12" s="31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31"/>
      <c r="Y12" s="31"/>
      <c r="Z12" s="31"/>
    </row>
    <row r="13" spans="1:26" ht="16">
      <c r="F13" s="8"/>
    </row>
    <row r="14" spans="1:26">
      <c r="A14" s="44" t="s">
        <v>0</v>
      </c>
      <c r="B14" s="31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ht="16">
      <c r="A15" s="46" t="s">
        <v>23</v>
      </c>
      <c r="B15" s="46" t="s">
        <v>24</v>
      </c>
      <c r="C15" s="31"/>
      <c r="D15" s="31"/>
      <c r="E15" s="31"/>
      <c r="F15" s="52"/>
      <c r="G15" s="31"/>
      <c r="H15" s="31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31"/>
      <c r="Y15" s="31"/>
      <c r="Z15" s="31"/>
    </row>
    <row r="16" spans="1:26" ht="16">
      <c r="A16" s="46" t="s">
        <v>25</v>
      </c>
      <c r="B16" s="46" t="s">
        <v>26</v>
      </c>
      <c r="C16" s="31"/>
      <c r="D16" s="31"/>
      <c r="E16" s="31"/>
      <c r="F16" s="31"/>
      <c r="G16" s="31"/>
      <c r="H16" s="31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31"/>
      <c r="Y16" s="31"/>
      <c r="Z16" s="31"/>
    </row>
    <row r="17" spans="1:26" ht="16">
      <c r="A17" s="46" t="s">
        <v>27</v>
      </c>
      <c r="B17" s="46" t="s">
        <v>28</v>
      </c>
      <c r="C17" s="31"/>
      <c r="D17" s="31"/>
      <c r="E17" s="31"/>
      <c r="F17" s="31"/>
      <c r="G17" s="31"/>
      <c r="H17" s="31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31"/>
      <c r="Y17" s="31"/>
      <c r="Z17" s="31"/>
    </row>
    <row r="18" spans="1:26" s="1" customFormat="1">
      <c r="A18" s="45" t="s">
        <v>29</v>
      </c>
      <c r="B18" s="45" t="s">
        <v>30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s="1" customFormat="1" ht="16">
      <c r="A19" s="46" t="s">
        <v>31</v>
      </c>
      <c r="B19" s="46" t="s">
        <v>32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s="1" customFormat="1" ht="16">
      <c r="A20" s="46" t="s">
        <v>33</v>
      </c>
      <c r="B20" s="46" t="s">
        <v>34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s="1" customFormat="1" ht="16">
      <c r="A21" s="46" t="s">
        <v>35</v>
      </c>
      <c r="B21" s="46" t="s">
        <v>36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s="1" customFormat="1">
      <c r="A22" s="45" t="s">
        <v>37</v>
      </c>
      <c r="B22" s="45" t="s">
        <v>38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s="1" customFormat="1">
      <c r="A23" s="45" t="s">
        <v>39</v>
      </c>
      <c r="B23" s="45" t="s">
        <v>40</v>
      </c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s="1" customFormat="1">
      <c r="A24" s="33" t="s">
        <v>41</v>
      </c>
      <c r="B24" s="33" t="s">
        <v>42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s="1" customFormat="1"/>
    <row r="59" spans="1:8">
      <c r="A59" s="3"/>
      <c r="C59" s="2"/>
      <c r="D59" s="2"/>
      <c r="E59" s="2"/>
      <c r="F59" s="2"/>
      <c r="G59" s="2"/>
      <c r="H59" s="2"/>
    </row>
    <row r="60" spans="1:8">
      <c r="A60" s="11"/>
      <c r="B60" s="11"/>
    </row>
    <row r="61" spans="1:8">
      <c r="A61" s="11"/>
      <c r="B61" s="11"/>
    </row>
    <row r="62" spans="1:8">
      <c r="A62" s="11"/>
      <c r="B62" s="11"/>
    </row>
    <row r="63" spans="1:8">
      <c r="A63" s="12"/>
      <c r="B63" s="12"/>
    </row>
    <row r="64" spans="1:8" s="1" customFormat="1"/>
    <row r="67" spans="1:26">
      <c r="A67" s="44" t="s">
        <v>22</v>
      </c>
      <c r="B67" s="31"/>
      <c r="C67" s="36"/>
      <c r="D67" s="36"/>
      <c r="E67" s="36"/>
      <c r="F67" s="36"/>
      <c r="G67" s="36"/>
      <c r="H67" s="36"/>
      <c r="I67" s="37"/>
      <c r="J67" s="37"/>
      <c r="K67" s="37"/>
      <c r="L67" s="37"/>
      <c r="M67" s="37"/>
      <c r="N67" s="37"/>
      <c r="O67" s="37">
        <f>O1</f>
      </c>
      <c r="P67" s="37">
        <f>P1</f>
      </c>
      <c r="Q67" s="37">
        <f>'Summary (fish)'!Q68</f>
      </c>
      <c r="R67" s="37">
        <f>R1</f>
      </c>
      <c r="S67" s="37"/>
      <c r="T67" s="37"/>
      <c r="U67" s="53"/>
      <c r="V67" s="37"/>
      <c r="W67" s="38"/>
      <c r="X67" s="39"/>
      <c r="Y67" s="39"/>
      <c r="Z67" s="39"/>
    </row>
    <row r="68" spans="1:26" ht="16">
      <c r="A68" s="46" t="s">
        <v>43</v>
      </c>
      <c r="B68" s="46" t="s">
        <v>24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29"/>
      <c r="W68" s="29"/>
      <c r="X68" s="31"/>
      <c r="Y68" s="31"/>
      <c r="Z68" s="31"/>
    </row>
    <row r="69" spans="1:26" ht="16">
      <c r="A69" s="46" t="s">
        <v>25</v>
      </c>
      <c r="B69" s="46" t="s">
        <v>26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29"/>
      <c r="W69" s="29"/>
      <c r="X69" s="31"/>
      <c r="Y69" s="31"/>
      <c r="Z69" s="31"/>
    </row>
    <row r="70" spans="1:26" ht="16">
      <c r="A70" s="46" t="s">
        <v>27</v>
      </c>
      <c r="B70" s="46" t="s">
        <v>28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29"/>
      <c r="W70" s="29"/>
      <c r="X70" s="31"/>
      <c r="Y70" s="31"/>
      <c r="Z70" s="31"/>
    </row>
    <row r="71" spans="1:26">
      <c r="A71" s="45" t="s">
        <v>29</v>
      </c>
      <c r="B71" s="45" t="s">
        <v>30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29"/>
      <c r="W71" s="29"/>
      <c r="X71" s="31"/>
      <c r="Y71" s="31"/>
      <c r="Z71" s="31"/>
    </row>
    <row r="72" spans="1:26" ht="16">
      <c r="A72" s="46" t="s">
        <v>44</v>
      </c>
      <c r="B72" s="46" t="s">
        <v>32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29"/>
      <c r="W72" s="29"/>
      <c r="X72" s="31"/>
      <c r="Y72" s="31"/>
      <c r="Z72" s="31"/>
    </row>
    <row r="73" spans="1:26" ht="16">
      <c r="A73" s="46" t="s">
        <v>45</v>
      </c>
      <c r="B73" s="46" t="s">
        <v>34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29"/>
      <c r="W73" s="29"/>
      <c r="X73" s="31"/>
      <c r="Y73" s="31"/>
      <c r="Z73" s="31"/>
    </row>
    <row r="74" spans="1:26" ht="16">
      <c r="A74" s="46" t="s">
        <v>46</v>
      </c>
      <c r="B74" s="46" t="s">
        <v>36</v>
      </c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29"/>
      <c r="W74" s="29"/>
      <c r="X74" s="31"/>
      <c r="Y74" s="31"/>
      <c r="Z74" s="31"/>
    </row>
    <row r="75" spans="1:26">
      <c r="A75" s="45" t="s">
        <v>37</v>
      </c>
      <c r="B75" s="45" t="s">
        <v>38</v>
      </c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29"/>
      <c r="W75" s="29"/>
      <c r="X75" s="31"/>
      <c r="Y75" s="31"/>
      <c r="Z75" s="31"/>
    </row>
    <row r="76" spans="1:26">
      <c r="A76" s="45" t="s">
        <v>39</v>
      </c>
      <c r="B76" s="45" t="s">
        <v>40</v>
      </c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29"/>
      <c r="W76" s="29"/>
      <c r="X76" s="31"/>
      <c r="Y76" s="31"/>
      <c r="Z76" s="31"/>
    </row>
    <row r="77" spans="1:26">
      <c r="A77" s="33" t="s">
        <v>41</v>
      </c>
      <c r="B77" s="33" t="s">
        <v>42</v>
      </c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29"/>
      <c r="W77" s="29"/>
      <c r="X77" s="31"/>
      <c r="Y77" s="31"/>
      <c r="Z77" s="31"/>
    </row>
    <row r="78" spans="1:26">
      <c r="A78"/>
      <c r="B78"/>
      <c r="C78"/>
      <c r="L78" s="1"/>
      <c r="M78" s="1"/>
      <c r="N78" s="1"/>
      <c r="O78" s="1"/>
      <c r="P78" s="1"/>
      <c r="Q78" s="1"/>
      <c r="R78" s="1"/>
      <c r="S78" s="1"/>
      <c r="T78" s="1"/>
      <c r="U78" s="29"/>
    </row>
    <row r="79" spans="1:26">
      <c r="A79"/>
      <c r="B79"/>
      <c r="C79"/>
      <c r="L79" s="1"/>
      <c r="M79" s="1"/>
      <c r="N79" s="1"/>
      <c r="O79" s="1"/>
      <c r="P79" s="1"/>
      <c r="Q79" s="1"/>
      <c r="R79" s="1"/>
      <c r="S79" s="1"/>
      <c r="T79" s="1"/>
    </row>
    <row r="80" spans="1:26">
      <c r="A80" s="44" t="s">
        <v>22</v>
      </c>
      <c r="B80" s="31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6">
      <c r="A81" s="46" t="s">
        <v>43</v>
      </c>
      <c r="B81" s="46" t="s">
        <v>24</v>
      </c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29"/>
      <c r="V81" s="29"/>
      <c r="W81" s="29"/>
      <c r="X81" s="31"/>
      <c r="Y81" s="31"/>
      <c r="Z81" s="31"/>
    </row>
    <row r="82" spans="1:26" ht="16">
      <c r="A82" s="46" t="s">
        <v>25</v>
      </c>
      <c r="B82" s="46" t="s">
        <v>26</v>
      </c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29"/>
      <c r="V82" s="29"/>
      <c r="W82" s="29"/>
      <c r="X82" s="31"/>
      <c r="Y82" s="31"/>
      <c r="Z82" s="31"/>
    </row>
    <row r="83" spans="1:26" ht="16">
      <c r="A83" s="46" t="s">
        <v>27</v>
      </c>
      <c r="B83" s="46" t="s">
        <v>28</v>
      </c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29"/>
      <c r="V83" s="29"/>
      <c r="W83" s="29"/>
      <c r="X83" s="31"/>
      <c r="Y83" s="31"/>
      <c r="Z83" s="31"/>
    </row>
    <row r="84" spans="1:26">
      <c r="A84" s="45" t="s">
        <v>29</v>
      </c>
      <c r="B84" s="45" t="s">
        <v>30</v>
      </c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29"/>
      <c r="W84" s="29"/>
      <c r="X84" s="31"/>
      <c r="Y84" s="31"/>
      <c r="Z84" s="31"/>
    </row>
    <row r="85" spans="1:26" ht="16">
      <c r="A85" s="46" t="s">
        <v>44</v>
      </c>
      <c r="B85" s="46" t="s">
        <v>32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29"/>
      <c r="W85" s="29"/>
      <c r="X85" s="31"/>
      <c r="Y85" s="31"/>
      <c r="Z85" s="31"/>
    </row>
    <row r="86" spans="1:26" ht="16">
      <c r="A86" s="46" t="s">
        <v>45</v>
      </c>
      <c r="B86" s="46" t="s">
        <v>34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29"/>
      <c r="W86" s="29"/>
      <c r="X86" s="31"/>
      <c r="Y86" s="31"/>
      <c r="Z86" s="31"/>
    </row>
    <row r="87" spans="1:26" ht="16">
      <c r="A87" s="46" t="s">
        <v>46</v>
      </c>
      <c r="B87" s="46" t="s">
        <v>36</v>
      </c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29"/>
      <c r="W87" s="29"/>
      <c r="X87" s="31"/>
      <c r="Y87" s="31"/>
      <c r="Z87" s="31"/>
    </row>
    <row r="88" spans="1:26">
      <c r="A88" s="45" t="s">
        <v>37</v>
      </c>
      <c r="B88" s="45" t="s">
        <v>38</v>
      </c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29"/>
      <c r="W88" s="29"/>
      <c r="X88" s="31"/>
      <c r="Y88" s="31"/>
      <c r="Z88" s="31"/>
    </row>
    <row r="89" spans="1:26">
      <c r="A89" s="45" t="s">
        <v>39</v>
      </c>
      <c r="B89" s="45" t="s">
        <v>40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29"/>
      <c r="W89" s="29"/>
      <c r="X89" s="31"/>
      <c r="Y89" s="31"/>
      <c r="Z89" s="31"/>
    </row>
    <row r="90" spans="1:26">
      <c r="A90" s="33" t="s">
        <v>41</v>
      </c>
      <c r="B90" s="33" t="s">
        <v>42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29"/>
      <c r="W90" s="29"/>
      <c r="X90" s="31"/>
      <c r="Y90" s="31"/>
      <c r="Z90" s="31"/>
    </row>
    <row r="130" spans="1:8">
      <c r="A130" s="3"/>
      <c r="C130" s="2"/>
      <c r="D130" s="2"/>
      <c r="E130" s="2"/>
      <c r="F130" s="2"/>
      <c r="G130" s="2"/>
      <c r="H130" s="2"/>
    </row>
    <row r="131" spans="1:8">
      <c r="A131" s="11"/>
      <c r="B131" s="11"/>
    </row>
    <row r="132" spans="1:8">
      <c r="A132" s="11"/>
      <c r="B132" s="11"/>
    </row>
    <row r="133" spans="1:8">
      <c r="A133" s="11"/>
      <c r="B133" s="11"/>
    </row>
    <row r="134" spans="1:8">
      <c r="A134" s="12"/>
      <c r="B134" s="12"/>
    </row>
    <row r="135" spans="1:8">
      <c r="A135" s="11"/>
      <c r="B135" s="11"/>
    </row>
    <row r="136" spans="1:8">
      <c r="A136" s="11"/>
      <c r="B136" s="11"/>
    </row>
    <row r="137" spans="1:8">
      <c r="A137" s="11"/>
      <c r="B137" s="11"/>
    </row>
    <row r="138" spans="1:8">
      <c r="A138" s="12"/>
      <c r="B138" s="12"/>
    </row>
    <row r="139" spans="1:8">
      <c r="A139" s="12"/>
      <c r="B139" s="12"/>
    </row>
    <row r="141" spans="1:8" ht="16">
      <c r="F141" s="8"/>
    </row>
    <row r="142" spans="1:8" ht="16">
      <c r="F142" s="8"/>
    </row>
    <row r="143" spans="1:8">
      <c r="A143" s="3"/>
      <c r="C143" s="2"/>
      <c r="D143" s="2"/>
      <c r="E143" s="2"/>
      <c r="F143" s="2"/>
      <c r="G143" s="2"/>
      <c r="H143" s="2"/>
    </row>
    <row r="144" spans="1:8" ht="16">
      <c r="A144" s="11"/>
      <c r="B144" s="11"/>
      <c r="F144" s="8"/>
    </row>
    <row r="145" spans="1:2">
      <c r="A145" s="11"/>
      <c r="B145" s="11"/>
    </row>
    <row r="146" spans="1:2">
      <c r="A146" s="12"/>
      <c r="B146" s="12"/>
    </row>
    <row r="147" spans="1:2">
      <c r="A147" s="11"/>
      <c r="B147" s="11"/>
    </row>
    <row r="148" spans="1:2">
      <c r="A148" s="11"/>
      <c r="B148" s="11"/>
    </row>
    <row r="149" spans="1:2">
      <c r="A149" s="11"/>
      <c r="B149" s="11"/>
    </row>
    <row r="150" spans="1:2">
      <c r="A150" s="12"/>
      <c r="B150" s="12"/>
    </row>
    <row r="151" spans="1:2">
      <c r="A151" s="12"/>
      <c r="B151" s="12"/>
    </row>
  </sheetData>
  <phoneticPr fontId="13" type="noConversion"/>
  <pageMargins left="0.75" right="0.75" top="1" bottom="1" header="0.51180555555555496" footer="0.51180555555555496"/>
  <pageSetup paperSize="9" firstPageNumber="0" orientation="portrait" horizontalDpi="300" verticalDpi="300"/>
  <ignoredErrors>
    <ignoredError sqref="I5:I11 I18:I24 I2:I3 I15:I16" numberStoredAsText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A8951-7E7C-A946-B97F-B1D99577CDE7}">
  <sheetPr codeName="工作表7"/>
  <dimension ref="A1:AMU133"/>
  <sheetViews>
    <sheetView zoomScale="65" zoomScaleNormal="80" workbookViewId="0">
      <selection activeCell="V32" sqref="V32"/>
    </sheetView>
  </sheetViews>
  <sheetFormatPr baseColWidth="10" defaultColWidth="8.83203125" defaultRowHeight="15"/>
  <cols>
    <col min="1" max="1" width="19" style="1" customWidth="1"/>
    <col min="2" max="5" width="9.1640625" style="1" customWidth="1"/>
    <col min="6" max="9" width="11" style="1" customWidth="1"/>
    <col min="10" max="22" width="11" customWidth="1"/>
    <col min="23" max="27" width="11" style="1" customWidth="1"/>
    <col min="28" max="28" width="13" style="1" bestFit="1" customWidth="1"/>
    <col min="29" max="1034" width="11" style="1" customWidth="1"/>
  </cols>
  <sheetData>
    <row r="1" spans="1:26 1035:1035" s="1" customFormat="1">
      <c r="A1" s="44" t="s">
        <v>47</v>
      </c>
      <c r="B1" s="36"/>
      <c r="C1" s="36"/>
      <c r="D1" s="36"/>
      <c r="E1" s="36"/>
      <c r="F1" s="36"/>
      <c r="G1" s="36"/>
      <c r="H1" s="37"/>
      <c r="I1" s="37"/>
      <c r="J1" s="37"/>
      <c r="K1" s="37"/>
      <c r="L1" s="37"/>
      <c r="M1" s="37"/>
      <c r="N1" s="37">
        <f>'Summary (Invertebrates)'!O1</f>
      </c>
      <c r="O1" s="37">
        <f>'Summary (Invertebrates)'!P1</f>
      </c>
      <c r="P1" s="37">
        <f>'Summary (Invertebrates)'!Q1</f>
      </c>
      <c r="Q1" s="37">
        <f>'Summary (Invertebrates)'!R1</f>
      </c>
      <c r="R1" s="37"/>
      <c r="S1" s="37"/>
      <c r="T1" s="37"/>
      <c r="U1" s="43"/>
      <c r="V1" s="39"/>
      <c r="W1" s="39"/>
      <c r="X1" s="39"/>
      <c r="Y1" s="39"/>
      <c r="Z1" s="39"/>
      <c r="AMU1"/>
    </row>
    <row r="2" spans="1:26 1035:1035" s="1" customFormat="1" ht="21">
      <c r="A2" s="33" t="s">
        <v>48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26"/>
      <c r="V2" s="31"/>
      <c r="W2" s="31"/>
      <c r="X2" s="31"/>
      <c r="Y2" s="31"/>
      <c r="Z2" s="31"/>
    </row>
    <row r="3" spans="1:26 1035:1035" s="1" customFormat="1" ht="21">
      <c r="A3" s="33" t="s">
        <v>49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26"/>
      <c r="V3" s="31"/>
      <c r="W3" s="31"/>
      <c r="X3" s="31"/>
      <c r="Y3" s="31"/>
      <c r="Z3" s="31"/>
    </row>
    <row r="4" spans="1:26 1035:1035" s="1" customFormat="1" ht="21">
      <c r="A4" s="33" t="s">
        <v>50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26"/>
      <c r="V4" s="31"/>
      <c r="W4" s="31"/>
      <c r="X4" s="31"/>
      <c r="Y4" s="31"/>
      <c r="Z4" s="31"/>
    </row>
    <row r="5" spans="1:26 1035:1035" s="1" customFormat="1" ht="21">
      <c r="A5" s="33" t="s">
        <v>51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26"/>
      <c r="V5" s="31"/>
      <c r="W5" s="31"/>
      <c r="X5" s="31"/>
      <c r="Y5" s="31"/>
      <c r="Z5" s="31"/>
    </row>
    <row r="6" spans="1:26 1035:1035" s="1" customFormat="1" ht="21">
      <c r="A6" s="33" t="s">
        <v>52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26"/>
      <c r="V6" s="31"/>
      <c r="W6" s="31"/>
      <c r="X6" s="31"/>
      <c r="Y6" s="31"/>
      <c r="Z6" s="31"/>
    </row>
    <row r="7" spans="1:26 1035:1035" s="1" customFormat="1" ht="16">
      <c r="E7" s="8"/>
      <c r="J7"/>
      <c r="K7"/>
      <c r="L7"/>
      <c r="M7"/>
      <c r="N7"/>
      <c r="O7"/>
      <c r="P7"/>
      <c r="Q7"/>
      <c r="R7"/>
      <c r="S7"/>
      <c r="T7"/>
      <c r="AMU7"/>
    </row>
    <row r="8" spans="1:26 1035:1035" s="1" customFormat="1" ht="16">
      <c r="E8" s="8"/>
      <c r="J8"/>
      <c r="K8"/>
      <c r="L8"/>
      <c r="M8"/>
      <c r="N8"/>
      <c r="O8"/>
      <c r="P8"/>
      <c r="Q8"/>
      <c r="R8"/>
      <c r="S8"/>
      <c r="T8"/>
      <c r="AMU8"/>
    </row>
    <row r="9" spans="1:26 1035:1035" s="1" customFormat="1">
      <c r="A9" s="44" t="s">
        <v>47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MU9"/>
    </row>
    <row r="10" spans="1:26 1035:1035" s="1" customFormat="1" ht="21">
      <c r="A10" s="33" t="s">
        <v>48</v>
      </c>
      <c r="B10" s="31"/>
      <c r="C10" s="31"/>
      <c r="D10" s="31"/>
      <c r="E10" s="31"/>
      <c r="F10" s="31"/>
      <c r="G10" s="31"/>
      <c r="H10" s="31"/>
      <c r="I10" s="29"/>
      <c r="J10" s="31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6"/>
      <c r="V10" s="31"/>
      <c r="W10" s="31"/>
      <c r="X10" s="31"/>
      <c r="Y10" s="31"/>
      <c r="Z10" s="31"/>
      <c r="AMU10"/>
    </row>
    <row r="11" spans="1:26 1035:1035" s="1" customFormat="1" ht="21">
      <c r="A11" s="33" t="s">
        <v>49</v>
      </c>
      <c r="B11" s="31"/>
      <c r="C11" s="31"/>
      <c r="D11" s="31"/>
      <c r="E11" s="31"/>
      <c r="F11" s="31"/>
      <c r="G11" s="31"/>
      <c r="H11" s="31"/>
      <c r="I11" s="29"/>
      <c r="J11" s="31"/>
      <c r="K11" s="29"/>
      <c r="L11" s="29"/>
      <c r="M11" s="29"/>
      <c r="N11" s="29"/>
      <c r="O11" s="31"/>
      <c r="P11" s="29"/>
      <c r="Q11" s="29"/>
      <c r="R11" s="29"/>
      <c r="S11" s="29"/>
      <c r="T11" s="29"/>
      <c r="U11" s="26"/>
      <c r="V11" s="31"/>
      <c r="W11" s="31"/>
      <c r="X11" s="31"/>
      <c r="Y11" s="31"/>
      <c r="Z11" s="31"/>
      <c r="AMU11"/>
    </row>
    <row r="12" spans="1:26 1035:1035" s="1" customFormat="1" ht="21">
      <c r="A12" s="33" t="s">
        <v>50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26"/>
      <c r="V12" s="31"/>
      <c r="W12" s="31"/>
      <c r="X12" s="31"/>
      <c r="Y12" s="31"/>
      <c r="Z12" s="31"/>
    </row>
    <row r="13" spans="1:26 1035:1035" s="1" customFormat="1" ht="21">
      <c r="A13" s="33" t="s">
        <v>51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26"/>
      <c r="V13" s="31"/>
      <c r="W13" s="31"/>
      <c r="X13" s="31"/>
      <c r="Y13" s="31"/>
      <c r="Z13" s="31"/>
    </row>
    <row r="14" spans="1:26 1035:1035" s="1" customFormat="1" ht="21">
      <c r="A14" s="33" t="s">
        <v>52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26"/>
      <c r="V14" s="31"/>
      <c r="W14" s="31"/>
      <c r="X14" s="31"/>
      <c r="Y14" s="31"/>
      <c r="Z14" s="31"/>
    </row>
    <row r="15" spans="1:26 1035:1035" s="1" customFormat="1"/>
    <row r="48" s="1" customFormat="1"/>
    <row r="51" spans="1:26">
      <c r="A51" s="44" t="s">
        <v>53</v>
      </c>
      <c r="B51" s="36"/>
      <c r="C51" s="36"/>
      <c r="D51" s="36"/>
      <c r="E51" s="36"/>
      <c r="F51" s="36"/>
      <c r="G51" s="36"/>
      <c r="H51" s="37"/>
      <c r="I51" s="37"/>
      <c r="J51" s="37"/>
      <c r="K51" s="37"/>
      <c r="L51" s="37"/>
      <c r="M51" s="37"/>
      <c r="N51" s="37">
        <f>N1</f>
      </c>
      <c r="O51" s="37">
        <f>O1</f>
      </c>
      <c r="P51" s="37">
        <f>'Summary (Invertebrates)'!Q67</f>
      </c>
      <c r="Q51" s="37">
        <f>Q1</f>
      </c>
      <c r="R51" s="37"/>
      <c r="S51" s="37"/>
      <c r="T51" s="37"/>
      <c r="U51" s="43"/>
      <c r="V51" s="38"/>
      <c r="W51" s="39"/>
      <c r="X51" s="39"/>
      <c r="Y51" s="39"/>
      <c r="Z51" s="39"/>
    </row>
    <row r="52" spans="1:26" ht="21">
      <c r="A52" s="33" t="s">
        <v>48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26"/>
      <c r="V52" s="29"/>
      <c r="W52" s="31"/>
      <c r="X52" s="31"/>
      <c r="Y52" s="31"/>
      <c r="Z52" s="31"/>
    </row>
    <row r="53" spans="1:26" ht="21">
      <c r="A53" s="33" t="s">
        <v>49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26"/>
      <c r="V53" s="29"/>
      <c r="W53" s="31"/>
      <c r="X53" s="31"/>
      <c r="Y53" s="31"/>
      <c r="Z53" s="31"/>
    </row>
    <row r="54" spans="1:26" ht="21">
      <c r="A54" s="33" t="s">
        <v>50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26"/>
      <c r="V54" s="29"/>
      <c r="W54" s="31"/>
      <c r="X54" s="31"/>
      <c r="Y54" s="31"/>
      <c r="Z54" s="31"/>
    </row>
    <row r="55" spans="1:26" ht="21">
      <c r="A55" s="33" t="s">
        <v>51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26"/>
      <c r="V55" s="29"/>
      <c r="W55" s="31"/>
      <c r="X55" s="31"/>
      <c r="Y55" s="31"/>
      <c r="Z55" s="31"/>
    </row>
    <row r="56" spans="1:26" ht="21">
      <c r="A56" s="33" t="s">
        <v>52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26"/>
      <c r="V56" s="29"/>
      <c r="W56" s="31"/>
      <c r="X56" s="31"/>
      <c r="Y56" s="31"/>
      <c r="Z56" s="31"/>
    </row>
    <row r="57" spans="1:26">
      <c r="A57"/>
      <c r="B5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6">
      <c r="A58"/>
      <c r="B5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6">
      <c r="A59" s="44" t="s">
        <v>53</v>
      </c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21">
      <c r="A60" s="33" t="s">
        <v>48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26"/>
      <c r="V60" s="29"/>
      <c r="W60" s="31"/>
      <c r="X60" s="31"/>
      <c r="Y60" s="31"/>
      <c r="Z60" s="31"/>
    </row>
    <row r="61" spans="1:26" ht="21">
      <c r="A61" s="33" t="s">
        <v>49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26"/>
      <c r="V61" s="29"/>
      <c r="W61" s="31"/>
      <c r="X61" s="31"/>
      <c r="Y61" s="31"/>
      <c r="Z61" s="31"/>
    </row>
    <row r="62" spans="1:26" ht="21">
      <c r="A62" s="33" t="s">
        <v>50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26"/>
      <c r="V62" s="29"/>
      <c r="W62" s="31"/>
      <c r="X62" s="31"/>
      <c r="Y62" s="31"/>
      <c r="Z62" s="31"/>
    </row>
    <row r="63" spans="1:26" ht="21">
      <c r="A63" s="33" t="s">
        <v>51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26"/>
      <c r="V63" s="29"/>
      <c r="W63" s="31"/>
      <c r="X63" s="31"/>
      <c r="Y63" s="31"/>
      <c r="Z63" s="31"/>
    </row>
    <row r="64" spans="1:26" ht="21">
      <c r="A64" s="33" t="s">
        <v>52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26"/>
      <c r="V64" s="29"/>
      <c r="W64" s="31"/>
      <c r="X64" s="31"/>
      <c r="Y64" s="31"/>
      <c r="Z64" s="31"/>
    </row>
    <row r="112" spans="2:22 1035:1035" s="1" customFormat="1">
      <c r="B112" s="2"/>
      <c r="C112" s="2"/>
      <c r="D112" s="2"/>
      <c r="E112" s="2"/>
      <c r="F112" s="2"/>
      <c r="G112" s="2"/>
      <c r="J112"/>
      <c r="K112"/>
      <c r="L112"/>
      <c r="M112"/>
      <c r="N112"/>
      <c r="O112"/>
      <c r="P112"/>
      <c r="Q112"/>
      <c r="R112"/>
      <c r="S112"/>
      <c r="T112"/>
      <c r="U112"/>
      <c r="V112"/>
      <c r="AMU112"/>
    </row>
    <row r="113" spans="1:22 1035:1035" s="1" customFormat="1">
      <c r="A113" s="11"/>
      <c r="J113"/>
      <c r="K113"/>
      <c r="L113"/>
      <c r="M113"/>
      <c r="N113"/>
      <c r="O113"/>
      <c r="P113"/>
      <c r="Q113"/>
      <c r="R113"/>
      <c r="S113"/>
      <c r="T113"/>
      <c r="U113"/>
      <c r="V113"/>
      <c r="AMU113"/>
    </row>
    <row r="114" spans="1:22 1035:1035" s="1" customFormat="1">
      <c r="A114" s="11"/>
      <c r="J114"/>
      <c r="K114"/>
      <c r="L114"/>
      <c r="M114"/>
      <c r="N114"/>
      <c r="O114"/>
      <c r="P114"/>
      <c r="Q114"/>
      <c r="R114"/>
      <c r="S114"/>
      <c r="T114"/>
      <c r="U114"/>
      <c r="V114"/>
      <c r="AMU114"/>
    </row>
    <row r="115" spans="1:22 1035:1035" s="1" customFormat="1">
      <c r="A115" s="11"/>
      <c r="J115"/>
      <c r="K115"/>
      <c r="L115"/>
      <c r="M115"/>
      <c r="N115"/>
      <c r="O115"/>
      <c r="P115"/>
      <c r="Q115"/>
      <c r="R115"/>
      <c r="S115"/>
      <c r="T115"/>
      <c r="U115"/>
      <c r="V115"/>
      <c r="AMU115"/>
    </row>
    <row r="116" spans="1:22 1035:1035" s="1" customFormat="1">
      <c r="A116" s="12"/>
      <c r="J116"/>
      <c r="K116"/>
      <c r="L116"/>
      <c r="M116"/>
      <c r="N116"/>
      <c r="O116"/>
      <c r="P116"/>
      <c r="Q116"/>
      <c r="R116"/>
      <c r="S116"/>
      <c r="T116"/>
      <c r="U116"/>
      <c r="V116"/>
      <c r="AMU116"/>
    </row>
    <row r="117" spans="1:22 1035:1035" s="1" customFormat="1">
      <c r="A117" s="11"/>
      <c r="J117"/>
      <c r="K117"/>
      <c r="L117"/>
      <c r="M117"/>
      <c r="N117"/>
      <c r="O117"/>
      <c r="P117"/>
      <c r="Q117"/>
      <c r="R117"/>
      <c r="S117"/>
      <c r="T117"/>
      <c r="U117"/>
      <c r="V117"/>
      <c r="AMU117"/>
    </row>
    <row r="118" spans="1:22 1035:1035" s="1" customFormat="1">
      <c r="A118" s="11"/>
      <c r="J118"/>
      <c r="K118"/>
      <c r="L118"/>
      <c r="M118"/>
      <c r="N118"/>
      <c r="O118"/>
      <c r="P118"/>
      <c r="Q118"/>
      <c r="R118"/>
      <c r="S118"/>
      <c r="T118"/>
      <c r="U118"/>
      <c r="V118"/>
      <c r="AMU118"/>
    </row>
    <row r="119" spans="1:22 1035:1035" s="1" customFormat="1">
      <c r="A119" s="11"/>
      <c r="J119"/>
      <c r="K119"/>
      <c r="L119"/>
      <c r="M119"/>
      <c r="N119"/>
      <c r="O119"/>
      <c r="P119"/>
      <c r="Q119"/>
      <c r="R119"/>
      <c r="S119"/>
      <c r="T119"/>
      <c r="U119"/>
      <c r="V119"/>
      <c r="AMU119"/>
    </row>
    <row r="120" spans="1:22 1035:1035" s="1" customFormat="1">
      <c r="A120" s="12"/>
      <c r="J120"/>
      <c r="K120"/>
      <c r="L120"/>
      <c r="M120"/>
      <c r="N120"/>
      <c r="O120"/>
      <c r="P120"/>
      <c r="Q120"/>
      <c r="R120"/>
      <c r="S120"/>
      <c r="T120"/>
      <c r="U120"/>
      <c r="V120"/>
      <c r="AMU120"/>
    </row>
    <row r="121" spans="1:22 1035:1035" s="1" customFormat="1">
      <c r="A121" s="12"/>
      <c r="J121"/>
      <c r="K121"/>
      <c r="L121"/>
      <c r="M121"/>
      <c r="N121"/>
      <c r="O121"/>
      <c r="P121"/>
      <c r="Q121"/>
      <c r="R121"/>
      <c r="S121"/>
      <c r="T121"/>
      <c r="U121"/>
      <c r="V121"/>
      <c r="AMU121"/>
    </row>
    <row r="123" spans="1:22 1035:1035" s="1" customFormat="1" ht="16">
      <c r="E123" s="8"/>
      <c r="J123"/>
      <c r="K123"/>
      <c r="L123"/>
      <c r="M123"/>
      <c r="N123"/>
      <c r="O123"/>
      <c r="P123"/>
      <c r="Q123"/>
      <c r="R123"/>
      <c r="S123"/>
      <c r="T123"/>
      <c r="U123"/>
      <c r="V123"/>
      <c r="AMU123"/>
    </row>
    <row r="124" spans="1:22 1035:1035" s="1" customFormat="1" ht="16">
      <c r="E124" s="8"/>
      <c r="J124"/>
      <c r="K124"/>
      <c r="L124"/>
      <c r="M124"/>
      <c r="N124"/>
      <c r="O124"/>
      <c r="P124"/>
      <c r="Q124"/>
      <c r="R124"/>
      <c r="S124"/>
      <c r="T124"/>
      <c r="U124"/>
      <c r="V124"/>
      <c r="AMU124"/>
    </row>
    <row r="125" spans="1:22 1035:1035" s="1" customFormat="1">
      <c r="B125" s="2"/>
      <c r="C125" s="2"/>
      <c r="D125" s="2"/>
      <c r="E125" s="2"/>
      <c r="F125" s="2"/>
      <c r="G125" s="2"/>
      <c r="J125"/>
      <c r="K125"/>
      <c r="L125"/>
      <c r="M125"/>
      <c r="N125"/>
      <c r="O125"/>
      <c r="P125"/>
      <c r="Q125"/>
      <c r="R125"/>
      <c r="S125"/>
      <c r="T125"/>
      <c r="U125"/>
      <c r="V125"/>
      <c r="AMU125"/>
    </row>
    <row r="126" spans="1:22 1035:1035" s="1" customFormat="1" ht="16">
      <c r="A126" s="11"/>
      <c r="E126" s="8"/>
      <c r="J126"/>
      <c r="K126"/>
      <c r="L126"/>
      <c r="M126"/>
      <c r="N126"/>
      <c r="O126"/>
      <c r="P126"/>
      <c r="Q126"/>
      <c r="R126"/>
      <c r="S126"/>
      <c r="T126"/>
      <c r="U126"/>
      <c r="V126"/>
      <c r="AMU126"/>
    </row>
    <row r="127" spans="1:22 1035:1035" s="1" customFormat="1">
      <c r="A127" s="11"/>
      <c r="J127"/>
      <c r="K127"/>
      <c r="L127"/>
      <c r="M127"/>
      <c r="N127"/>
      <c r="O127"/>
      <c r="P127"/>
      <c r="Q127"/>
      <c r="R127"/>
      <c r="S127"/>
      <c r="T127"/>
      <c r="U127"/>
      <c r="V127"/>
      <c r="AMU127"/>
    </row>
    <row r="128" spans="1:22 1035:1035" s="1" customFormat="1">
      <c r="A128" s="12"/>
      <c r="J128"/>
      <c r="K128"/>
      <c r="L128"/>
      <c r="M128"/>
      <c r="N128"/>
      <c r="O128"/>
      <c r="P128"/>
      <c r="Q128"/>
      <c r="R128"/>
      <c r="S128"/>
      <c r="T128"/>
      <c r="U128"/>
      <c r="V128"/>
      <c r="AMU128"/>
    </row>
    <row r="129" spans="1:22 1035:1035" s="1" customFormat="1">
      <c r="A129" s="11"/>
      <c r="J129"/>
      <c r="K129"/>
      <c r="L129"/>
      <c r="M129"/>
      <c r="N129"/>
      <c r="O129"/>
      <c r="P129"/>
      <c r="Q129"/>
      <c r="R129"/>
      <c r="S129"/>
      <c r="T129"/>
      <c r="U129"/>
      <c r="V129"/>
      <c r="AMU129"/>
    </row>
    <row r="130" spans="1:22 1035:1035" s="1" customFormat="1">
      <c r="A130" s="11"/>
      <c r="J130"/>
      <c r="K130"/>
      <c r="L130"/>
      <c r="M130"/>
      <c r="N130"/>
      <c r="O130"/>
      <c r="P130"/>
      <c r="Q130"/>
      <c r="R130"/>
      <c r="S130"/>
      <c r="T130"/>
      <c r="U130"/>
      <c r="V130"/>
      <c r="AMU130"/>
    </row>
    <row r="131" spans="1:22 1035:1035" s="1" customFormat="1">
      <c r="A131" s="11"/>
      <c r="J131"/>
      <c r="K131"/>
      <c r="L131"/>
      <c r="M131"/>
      <c r="N131"/>
      <c r="O131"/>
      <c r="P131"/>
      <c r="Q131"/>
      <c r="R131"/>
      <c r="S131"/>
      <c r="T131"/>
      <c r="U131"/>
      <c r="V131"/>
      <c r="AMU131"/>
    </row>
    <row r="132" spans="1:22 1035:1035" s="1" customFormat="1">
      <c r="A132" s="12"/>
      <c r="J132"/>
      <c r="K132"/>
      <c r="L132"/>
      <c r="M132"/>
      <c r="N132"/>
      <c r="O132"/>
      <c r="P132"/>
      <c r="Q132"/>
      <c r="R132"/>
      <c r="S132"/>
      <c r="T132"/>
      <c r="U132"/>
      <c r="V132"/>
      <c r="AMU132"/>
    </row>
    <row r="133" spans="1:22 1035:1035" s="1" customFormat="1">
      <c r="A133" s="12"/>
      <c r="J133"/>
      <c r="K133"/>
      <c r="L133"/>
      <c r="M133"/>
      <c r="N133"/>
      <c r="O133"/>
      <c r="P133"/>
      <c r="Q133"/>
      <c r="R133"/>
      <c r="S133"/>
      <c r="T133"/>
      <c r="U133"/>
      <c r="V133"/>
      <c r="AMU133"/>
    </row>
  </sheetData>
  <phoneticPr fontId="13" type="noConversion"/>
  <pageMargins left="0.75" right="0.75" top="1" bottom="1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20260411</vt:lpstr>
      <vt:lpstr>Summary (line)</vt:lpstr>
      <vt:lpstr>Summary (line)-誤差線誤差</vt:lpstr>
      <vt:lpstr>Summary (fish)</vt:lpstr>
      <vt:lpstr>Summary (fish)亂碼</vt:lpstr>
      <vt:lpstr>Summary (fish size)</vt:lpstr>
      <vt:lpstr>Summary (Invertebrates)</vt:lpstr>
      <vt:lpstr>Impacts</vt:lpstr>
      <vt:lpstr>202009珊瑚計數</vt:lpstr>
      <vt:lpstr>202104珊瑚計數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2018-11-17T23:41:50Z</dcterms:created>
  <dcterms:modified xsi:type="dcterms:W3CDTF">2026-10-15T09:26:02Z</dcterms:modified>
  <dc:language>en-AU</dc:language>
</cp:coreProperties>
</file>