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codeName="ThisWorkbook"/>
  <xr:revisionPtr revIDLastSave="0" documentId="13_ncr:1_{7B8EFB69-7907-C142-B81F-83C5AD736138}" xr6:coauthVersionLast="47" xr6:coauthVersionMax="47" xr10:uidLastSave="{00000000-0000-0000-0000-000000000000}"/>
  <bookViews>
    <workbookView xWindow="0" yWindow="500" windowWidth="33600" windowHeight="20500" activeTab="0" xr2:uid="{00000000-000D-0000-FFFF-FFFF00000000}"/>
  </bookViews>
  <sheets>
    <sheet name="DATA" sheetId="1" r:id="rId1"/>
    <sheet name="GRAPHS" sheetId="2" r:id="rId2"/>
    <sheet name="EXPORT" sheetId="7" r:id="rId3"/>
    <sheet name="INSTRUCTIONS" sheetId="4" r:id="rId4"/>
    <sheet name="FIELD SHEET FISH" sheetId="6" r:id="rId5"/>
    <sheet name="FIELD SHEET INVERTS" sheetId="5" r:id="rId6"/>
    <sheet name="siteName" sheetId="8" r:id="rId7"/>
  </sheets>
  <definedNames>
    <definedName name="_xlnm.Print_Area" localSheetId="0">DATA!$A$1:$I$72</definedName>
    <definedName name="_xlnm.Print_Area" localSheetId="4">'FIELD SHEET FISH'!$A$1:$H$28</definedName>
    <definedName name="_xlnm.Print_Area" localSheetId="5">'FIELD SHEET INVERTS'!$C$1:$J$43</definedName>
    <definedName name="_xlnm.Print_Area" localSheetId="1">GRAPHS!$E$6:$K$131</definedName>
    <definedName name="_xlnm.Print_Area" localSheetId="3">INSTRUCTIONS!$A$1:$A$58</definedName>
  </definedName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<sst xmlns="http://schemas.openxmlformats.org/spreadsheetml/2006/main" count="397" uniqueCount="397">
  <si>
    <t>Site Name:</t>
  </si>
  <si>
    <t>Country/Island:</t>
  </si>
  <si>
    <t>Transect Depth:</t>
  </si>
  <si>
    <t>Team Leader:</t>
  </si>
  <si>
    <t xml:space="preserve">Date: </t>
  </si>
  <si>
    <t>Start Time:</t>
  </si>
  <si>
    <t>Data recorded by (full names):</t>
  </si>
  <si>
    <t>0-20m</t>
  </si>
  <si>
    <t>25-45m</t>
  </si>
  <si>
    <t>50-70m</t>
  </si>
  <si>
    <t>75-95m</t>
  </si>
  <si>
    <r>
      <t xml:space="preserve">Butterflyfish                                           </t>
    </r>
    <r>
      <rPr>
        <sz val="12"/>
        <rFont val="Arial"/>
        <family val="2"/>
      </rPr>
      <t>Family Chaetodontidae</t>
    </r>
  </si>
  <si>
    <r>
      <t xml:space="preserve">Grunts/Sweetlips/Margates                                   </t>
    </r>
    <r>
      <rPr>
        <sz val="12"/>
        <rFont val="Arial"/>
        <family val="2"/>
      </rPr>
      <t>Family Haemulidae</t>
    </r>
  </si>
  <si>
    <r>
      <t xml:space="preserve">Snapper                                     </t>
    </r>
    <r>
      <rPr>
        <sz val="12"/>
        <rFont val="Arial"/>
        <family val="2"/>
      </rPr>
      <t>Family Lutjanidae</t>
    </r>
  </si>
  <si>
    <r>
      <t xml:space="preserve">Barramundi cod                      </t>
    </r>
    <r>
      <rPr>
        <i/>
        <sz val="12"/>
        <rFont val="Arial"/>
        <family val="2"/>
      </rPr>
      <t>Cromileptes altivelis</t>
    </r>
  </si>
  <si>
    <r>
      <t xml:space="preserve">Humphead (Napoleon) wrasse                      </t>
    </r>
    <r>
      <rPr>
        <i/>
        <sz val="12"/>
        <rFont val="Arial"/>
        <family val="2"/>
      </rPr>
      <t>Cheilinus undulatus</t>
    </r>
  </si>
  <si>
    <r>
      <t xml:space="preserve">Bumphead parrotfish         </t>
    </r>
    <r>
      <rPr>
        <i/>
        <sz val="12"/>
        <rFont val="Arial"/>
        <family val="2"/>
      </rPr>
      <t>Bolbometopon muricatum</t>
    </r>
  </si>
  <si>
    <r>
      <t xml:space="preserve">Other parrotfish         ONLY &gt;20cm                 </t>
    </r>
    <r>
      <rPr>
        <sz val="12"/>
        <rFont val="Arial"/>
        <family val="2"/>
      </rPr>
      <t>Family Scaridae</t>
    </r>
    <r>
      <rPr>
        <b/>
        <sz val="12"/>
        <rFont val="Arial"/>
        <family val="2"/>
      </rPr>
      <t xml:space="preserve"> </t>
    </r>
  </si>
  <si>
    <r>
      <t xml:space="preserve">Moray eel                                   </t>
    </r>
    <r>
      <rPr>
        <sz val="12"/>
        <rFont val="Arial"/>
        <family val="2"/>
      </rPr>
      <t>Family Muraenidae</t>
    </r>
  </si>
  <si>
    <r>
      <t xml:space="preserve">Grouper                       ONLY &gt;30cm       </t>
    </r>
    <r>
      <rPr>
        <sz val="12"/>
        <rFont val="Arial"/>
        <family val="2"/>
      </rPr>
      <t>Family Serranidae</t>
    </r>
  </si>
  <si>
    <t>30-40 cm</t>
  </si>
  <si>
    <t>40-50 cm</t>
  </si>
  <si>
    <t>50-60 cm</t>
  </si>
  <si>
    <t>&gt;60 cm</t>
  </si>
  <si>
    <t>Rare animals sighted (#/type/size)</t>
  </si>
  <si>
    <t>Sharks</t>
  </si>
  <si>
    <t>Turtles</t>
  </si>
  <si>
    <t>Mantas</t>
  </si>
  <si>
    <t>Other</t>
  </si>
  <si>
    <t xml:space="preserve">Comments: </t>
  </si>
  <si>
    <t>This page is ready to print.</t>
  </si>
  <si>
    <t>Invertebrates</t>
  </si>
  <si>
    <r>
      <t xml:space="preserve">Banded coral shrimp                  </t>
    </r>
    <r>
      <rPr>
        <i/>
        <sz val="12"/>
        <rFont val="Arial"/>
        <family val="2"/>
      </rPr>
      <t>Stenopus hispidus</t>
    </r>
  </si>
  <si>
    <r>
      <rPr>
        <b/>
        <sz val="12"/>
        <rFont val="Arial"/>
        <family val="2"/>
      </rPr>
      <t xml:space="preserve">Long-spined black sea urchin                      </t>
    </r>
    <r>
      <rPr>
        <i/>
        <sz val="12"/>
        <rFont val="Arial"/>
        <family val="2"/>
      </rPr>
      <t>Diadema</t>
    </r>
    <r>
      <rPr>
        <sz val="12"/>
        <rFont val="Arial"/>
        <family val="2"/>
      </rPr>
      <t xml:space="preserve"> and </t>
    </r>
    <r>
      <rPr>
        <i/>
        <sz val="12"/>
        <rFont val="Arial"/>
        <family val="2"/>
      </rPr>
      <t xml:space="preserve">Echinothrix </t>
    </r>
    <r>
      <rPr>
        <sz val="12"/>
        <rFont val="Arial"/>
        <family val="2"/>
      </rPr>
      <t>spp.</t>
    </r>
  </si>
  <si>
    <r>
      <t xml:space="preserve">Pencil urchin                                   </t>
    </r>
    <r>
      <rPr>
        <i/>
        <sz val="12"/>
        <rFont val="Arial"/>
        <family val="2"/>
      </rPr>
      <t>Heterocentrotus mammillatus</t>
    </r>
  </si>
  <si>
    <r>
      <t xml:space="preserve">Collector urchin                                 </t>
    </r>
    <r>
      <rPr>
        <i/>
        <sz val="12"/>
        <rFont val="Arial"/>
        <family val="2"/>
      </rPr>
      <t>Tripneustes</t>
    </r>
    <r>
      <rPr>
        <sz val="12"/>
        <rFont val="Arial"/>
        <family val="2"/>
      </rPr>
      <t xml:space="preserve"> spp.</t>
    </r>
  </si>
  <si>
    <r>
      <t xml:space="preserve">Sea cucumber  (only 3 RC species)                                  </t>
    </r>
    <r>
      <rPr>
        <sz val="12"/>
        <rFont val="Arial"/>
        <family val="2"/>
      </rPr>
      <t>Family Holothuriidae</t>
    </r>
  </si>
  <si>
    <r>
      <t xml:space="preserve">Crown-of-thorns starfish                                                           </t>
    </r>
    <r>
      <rPr>
        <sz val="12"/>
        <rFont val="Arial"/>
        <family val="2"/>
      </rPr>
      <t xml:space="preserve"> </t>
    </r>
    <r>
      <rPr>
        <i/>
        <sz val="12"/>
        <rFont val="Arial"/>
        <family val="2"/>
      </rPr>
      <t>Acanthaster planci</t>
    </r>
  </si>
  <si>
    <r>
      <t xml:space="preserve">Triton                                                              </t>
    </r>
    <r>
      <rPr>
        <i/>
        <sz val="12"/>
        <rFont val="Arial"/>
        <family val="2"/>
      </rPr>
      <t>Charonia tritonis</t>
    </r>
  </si>
  <si>
    <r>
      <t xml:space="preserve">Lobster (spiny and slipper/rock) </t>
    </r>
    <r>
      <rPr>
        <sz val="12"/>
        <rFont val="Arial"/>
        <family val="2"/>
      </rPr>
      <t>Malacostraca (Decapoda)</t>
    </r>
  </si>
  <si>
    <r>
      <t xml:space="preserve">Giant clam </t>
    </r>
    <r>
      <rPr>
        <sz val="12"/>
        <rFont val="Arial"/>
        <family val="2"/>
      </rPr>
      <t>(</t>
    </r>
    <r>
      <rPr>
        <i/>
        <sz val="12"/>
        <rFont val="Arial"/>
        <family val="2"/>
      </rPr>
      <t>Tridacna</t>
    </r>
    <r>
      <rPr>
        <sz val="12"/>
        <rFont val="Arial"/>
        <family val="2"/>
      </rPr>
      <t xml:space="preserve"> spp.)</t>
    </r>
  </si>
  <si>
    <t>&lt;10 cm</t>
  </si>
  <si>
    <t>10-20 cm</t>
  </si>
  <si>
    <t>20-30 cm</t>
  </si>
  <si>
    <t>&gt;50 cm</t>
  </si>
  <si>
    <t>Impacts: Coral Damage/Disease/ Bleaching/Trash</t>
  </si>
  <si>
    <t>0 = none, 1 = low (1 piece), 2 = medium (2-4 pieces) and 3 = high (5+ pieces)</t>
  </si>
  <si>
    <t>Coral damage: Boat/Anchor</t>
  </si>
  <si>
    <t>Coral damage: Dynamite</t>
  </si>
  <si>
    <t>Coral damage: Other</t>
  </si>
  <si>
    <t>Trash: Fish nets</t>
  </si>
  <si>
    <t xml:space="preserve">Trash: General </t>
  </si>
  <si>
    <t>Bleaching (% of coral population)*</t>
  </si>
  <si>
    <t>%</t>
  </si>
  <si>
    <t>Bleaching (% of coral colony)</t>
  </si>
  <si>
    <r>
      <rPr>
        <b/>
        <sz val="12"/>
        <rFont val="Arial"/>
        <family val="2"/>
      </rPr>
      <t>Coral Disease</t>
    </r>
    <r>
      <rPr>
        <sz val="12"/>
        <rFont val="Arial"/>
        <family val="2"/>
      </rPr>
      <t xml:space="preserve"> (estimate % of colonies affected)  </t>
    </r>
  </si>
  <si>
    <t>Black Band</t>
  </si>
  <si>
    <t>White Band</t>
  </si>
  <si>
    <t>*If you have estimated the % of bleached HC on your substrate sheet (LINE 37), copy the numbers into the Bleaching (% of coral population) field</t>
  </si>
  <si>
    <t>樣點名稱</t>
  </si>
  <si>
    <t>Site Name</t>
    <phoneticPr fontId="35" type="noConversion"/>
  </si>
  <si>
    <t>野柳</t>
  </si>
  <si>
    <t>Yeliu</t>
  </si>
  <si>
    <t>潮境保育區</t>
  </si>
  <si>
    <t>Chaojing protected area</t>
  </si>
  <si>
    <t>番仔澳</t>
  </si>
  <si>
    <t>FanCai'ao</t>
  </si>
  <si>
    <t>鼻頭角</t>
  </si>
  <si>
    <t>Bitoujiao</t>
  </si>
  <si>
    <t>龍洞1.5號</t>
  </si>
  <si>
    <t>Longdong 1.5</t>
  </si>
  <si>
    <t>龍洞4號-北</t>
  </si>
  <si>
    <t>Longdong 4 North</t>
  </si>
  <si>
    <t>龍洞4號-南</t>
  </si>
  <si>
    <t>Longdong 4 South</t>
  </si>
  <si>
    <t>和平島</t>
  </si>
  <si>
    <t>Heping Island</t>
  </si>
  <si>
    <t>合界</t>
  </si>
  <si>
    <t>Hejie</t>
  </si>
  <si>
    <t>後壁湖</t>
  </si>
  <si>
    <t>Houbihu</t>
  </si>
  <si>
    <t>石梯坪</t>
  </si>
  <si>
    <t>Shitiping</t>
  </si>
  <si>
    <t>基翬</t>
  </si>
  <si>
    <t>GiHaw</t>
  </si>
  <si>
    <t>杉原中礁</t>
  </si>
  <si>
    <t>Shanyuan middle reef</t>
  </si>
  <si>
    <t>杉原南礁</t>
  </si>
  <si>
    <t>Shanyuan southern reef</t>
  </si>
  <si>
    <t>杉原</t>
  </si>
  <si>
    <t>Shanyuan</t>
  </si>
  <si>
    <t>加母子灣</t>
  </si>
  <si>
    <t>Jiamuzi Bay</t>
  </si>
  <si>
    <t>東嶼坪西</t>
  </si>
  <si>
    <t>Dongyuping west</t>
  </si>
  <si>
    <t>東嶼坪東</t>
  </si>
  <si>
    <t>Dongyuping east</t>
  </si>
  <si>
    <t>東嶼坪南</t>
  </si>
  <si>
    <t>Dongyuping south</t>
  </si>
  <si>
    <t>西嶼坪東側</t>
  </si>
  <si>
    <t>Eastern Xiyuping Island</t>
  </si>
  <si>
    <t>西嶼坪南側</t>
  </si>
  <si>
    <t>WesternIsletS</t>
  </si>
  <si>
    <t>東嶼坪北側</t>
  </si>
  <si>
    <t>North Dongyuping Island</t>
  </si>
  <si>
    <t>西嶼坪北側</t>
  </si>
  <si>
    <t>North Xiyuping Island</t>
  </si>
  <si>
    <t>杭灣</t>
  </si>
  <si>
    <t>HangWan</t>
  </si>
  <si>
    <t>山水港</t>
  </si>
  <si>
    <t>Shanshui port</t>
  </si>
  <si>
    <t>美人洞</t>
  </si>
  <si>
    <t>Beauty Cave</t>
  </si>
  <si>
    <t>漁埕尾</t>
  </si>
  <si>
    <t>Yuchengwei</t>
  </si>
  <si>
    <t>厚石裙礁</t>
  </si>
  <si>
    <t>Houshi fringing reef</t>
  </si>
  <si>
    <t>杉福</t>
  </si>
  <si>
    <t>Shanfu</t>
  </si>
  <si>
    <t>柴口</t>
  </si>
  <si>
    <t>Chaikou</t>
  </si>
  <si>
    <t>公館</t>
  </si>
  <si>
    <t>Gongguan</t>
  </si>
  <si>
    <t>將軍岩</t>
  </si>
  <si>
    <t>General rock</t>
  </si>
  <si>
    <t>石朗</t>
  </si>
  <si>
    <t>Shihlang</t>
  </si>
  <si>
    <t>龜灣</t>
  </si>
  <si>
    <t>Turtle bay</t>
  </si>
  <si>
    <t>大白沙</t>
  </si>
  <si>
    <t>Dabaisha</t>
  </si>
  <si>
    <t>沈箱</t>
  </si>
  <si>
    <t>ChenShiang</t>
  </si>
  <si>
    <t>玉女岩</t>
  </si>
  <si>
    <t>Beauty Rock</t>
  </si>
  <si>
    <t>母雞岩</t>
  </si>
  <si>
    <t>Hen Rock</t>
  </si>
  <si>
    <t>南獅</t>
  </si>
  <si>
    <t>Lion Couple Rock south</t>
  </si>
  <si>
    <t>東清小涼亭</t>
  </si>
  <si>
    <t>DongJing pavilion</t>
  </si>
  <si>
    <t>曙光礁</t>
  </si>
  <si>
    <t>Shuguang Reef</t>
  </si>
  <si>
    <t>year</t>
  </si>
  <si>
    <t>month</t>
  </si>
  <si>
    <t>day</t>
  </si>
  <si>
    <t>county</t>
  </si>
  <si>
    <t>town</t>
  </si>
  <si>
    <t>site</t>
  </si>
  <si>
    <t>E</t>
  </si>
  <si>
    <t>N</t>
  </si>
  <si>
    <t>depth</t>
  </si>
  <si>
    <t>HC</t>
  </si>
  <si>
    <t>SC</t>
  </si>
  <si>
    <t>RKC</t>
  </si>
  <si>
    <t>NIA</t>
  </si>
  <si>
    <t>SP</t>
  </si>
  <si>
    <t>RC</t>
  </si>
  <si>
    <t>RB</t>
  </si>
  <si>
    <t>SD</t>
  </si>
  <si>
    <t>SI</t>
  </si>
  <si>
    <t>OT</t>
  </si>
  <si>
    <t>comments</t>
  </si>
  <si>
    <t>benthos recorded by</t>
  </si>
  <si>
    <t>segment</t>
  </si>
  <si>
    <t>butterflyfish</t>
    <phoneticPr fontId="30" type="noConversion"/>
  </si>
  <si>
    <t>butterflyfish_less5</t>
    <phoneticPr fontId="30" type="noConversion"/>
  </si>
  <si>
    <t>sweetlips</t>
  </si>
  <si>
    <t>sweetlips_juv</t>
    <phoneticPr fontId="30" type="noConversion"/>
  </si>
  <si>
    <t>snapper</t>
  </si>
  <si>
    <t>snapper_less20</t>
    <phoneticPr fontId="30" type="noConversion"/>
  </si>
  <si>
    <t>barramundi cod</t>
  </si>
  <si>
    <t>humphead wrasse</t>
  </si>
  <si>
    <t>bumphead parrotfish</t>
  </si>
  <si>
    <t>otherParrotfish</t>
    <phoneticPr fontId="30" type="noConversion"/>
  </si>
  <si>
    <t>otherParrotfish_less20</t>
    <phoneticPr fontId="30" type="noConversion"/>
  </si>
  <si>
    <t>moray eel</t>
  </si>
  <si>
    <t>grouper_less30</t>
    <phoneticPr fontId="30" type="noConversion"/>
  </si>
  <si>
    <t>grouper3040</t>
    <phoneticPr fontId="30" type="noConversion"/>
  </si>
  <si>
    <t>grouper4050</t>
  </si>
  <si>
    <t>grouper5060</t>
  </si>
  <si>
    <t>grouper60</t>
  </si>
  <si>
    <t>others</t>
  </si>
  <si>
    <t>fish recorded by 1</t>
  </si>
  <si>
    <t>banded coral shrimp</t>
  </si>
  <si>
    <t>diadema</t>
  </si>
  <si>
    <t>Echinothrix</t>
    <phoneticPr fontId="30" type="noConversion"/>
  </si>
  <si>
    <t>pencil urchin</t>
  </si>
  <si>
    <t>collector urchin</t>
  </si>
  <si>
    <t>seacucumber</t>
  </si>
  <si>
    <t>crown of thorns</t>
  </si>
  <si>
    <t>triton</t>
  </si>
  <si>
    <t>lobster</t>
  </si>
  <si>
    <t>giantclam_less10</t>
    <phoneticPr fontId="30" type="noConversion"/>
  </si>
  <si>
    <t>giantclam1020</t>
  </si>
  <si>
    <t>giantclam2030</t>
  </si>
  <si>
    <t>giantclam3040</t>
  </si>
  <si>
    <t>giantclam4050</t>
  </si>
  <si>
    <t>giantclam50</t>
  </si>
  <si>
    <t>boat anchor</t>
  </si>
  <si>
    <t>dynamite</t>
  </si>
  <si>
    <t>other coral damage</t>
  </si>
  <si>
    <t>fishnet trash</t>
  </si>
  <si>
    <t>general trash</t>
  </si>
  <si>
    <t>bleaching%population</t>
  </si>
  <si>
    <t>bleaching%colony</t>
  </si>
  <si>
    <t>disease%coral black band</t>
  </si>
  <si>
    <t>disease%coral white band</t>
  </si>
  <si>
    <t>sharks</t>
  </si>
  <si>
    <t>turtles</t>
  </si>
  <si>
    <t>mantas</t>
  </si>
  <si>
    <t>other</t>
  </si>
  <si>
    <t>invert recorded by</t>
  </si>
  <si>
    <r>
      <t xml:space="preserve">PLEASE SELECT WHICH GRAPHS YOU WANT TO USE FROM THE FOLLOWING OPTIONS AND COMPLETE THE TITLE WHERE INDICATED IN </t>
    </r>
    <r>
      <rPr>
        <sz val="10"/>
        <color indexed="48"/>
        <rFont val="Arial"/>
        <family val="2"/>
      </rPr>
      <t>BLUE</t>
    </r>
    <r>
      <rPr>
        <sz val="10"/>
        <color indexed="10"/>
        <rFont val="Arial"/>
        <family val="2"/>
      </rPr>
      <t xml:space="preserve">.                                                                                                                                                                                                                       </t>
    </r>
  </si>
  <si>
    <t>Reef Check Summary Data</t>
  </si>
  <si>
    <t xml:space="preserve">TO CHANGE THE TEXT TO BLACK, SELECT THE TEXT, GO TO THE TEXT COLOUR BOX IN THE FORMATTING TOOLBAR AND SELECT BLACK. </t>
  </si>
  <si>
    <t>DO NOT TYPE IN THE BOXES BELOW</t>
  </si>
  <si>
    <t xml:space="preserve">Reef Check Summary Graphs </t>
  </si>
  <si>
    <t>Fish</t>
  </si>
  <si>
    <t>Mean</t>
  </si>
  <si>
    <t>SE</t>
  </si>
  <si>
    <t>Butterflyfish</t>
  </si>
  <si>
    <t>Haemulidae</t>
  </si>
  <si>
    <t xml:space="preserve">Snapper </t>
  </si>
  <si>
    <r>
      <t xml:space="preserve">Reef Check Fish Graphs for </t>
    </r>
    <r>
      <rPr>
        <b/>
        <u/>
        <sz val="14"/>
        <color indexed="12"/>
        <rFont val="Arial Narrow"/>
        <family val="2"/>
      </rPr>
      <t>&lt;&lt;RC reef name, depth and date&gt;&gt;</t>
    </r>
  </si>
  <si>
    <t>Barramundi cod</t>
  </si>
  <si>
    <t>Grouper(≥30cm)</t>
    <phoneticPr fontId="0"/>
  </si>
  <si>
    <t>Grouper(&lt;30cm)</t>
    <phoneticPr fontId="0"/>
  </si>
  <si>
    <t xml:space="preserve">Humphead wrasse </t>
  </si>
  <si>
    <t xml:space="preserve">Bumphead parrot </t>
  </si>
  <si>
    <t>Parrotfish(≥20cm)</t>
    <phoneticPr fontId="0"/>
  </si>
  <si>
    <t>Moray eel</t>
  </si>
  <si>
    <t>選擇性紀錄，本場次是否紀錄：</t>
    <phoneticPr fontId="0"/>
  </si>
  <si>
    <t>Fish Size(cm)</t>
    <phoneticPr fontId="0"/>
  </si>
  <si>
    <t>蝴蝶魚( ≥5cm)</t>
    <phoneticPr fontId="0"/>
  </si>
  <si>
    <t>蝴蝶魚( &lt;5cm)</t>
    <phoneticPr fontId="0"/>
  </si>
  <si>
    <t>石鱸</t>
    <phoneticPr fontId="0"/>
  </si>
  <si>
    <t>妞妞</t>
    <phoneticPr fontId="0"/>
  </si>
  <si>
    <t>笛鯛( ≥20cm)</t>
    <phoneticPr fontId="0"/>
  </si>
  <si>
    <t>小笛鯛( &lt; 20cm)</t>
    <phoneticPr fontId="0"/>
  </si>
  <si>
    <r>
      <t>鸚哥魚 （</t>
    </r>
    <r>
      <rPr>
        <b/>
        <sz val="10"/>
        <rFont val="Cambria Math"/>
        <family val="1"/>
      </rPr>
      <t>≥</t>
    </r>
    <r>
      <rPr>
        <b/>
        <sz val="10"/>
        <rFont val="微軟正黑體 Bold"/>
        <charset val="136"/>
      </rPr>
      <t>20cm)</t>
    </r>
    <phoneticPr fontId="0" type="noConversion"/>
  </si>
  <si>
    <t>鸚哥魚 （&lt;20cm)</t>
    <phoneticPr fontId="0"/>
  </si>
  <si>
    <t>石斑魚 (≥30cm)</t>
    <phoneticPr fontId="0" type="noConversion"/>
  </si>
  <si>
    <t>石斑魚 (&lt; 30cm)</t>
    <phoneticPr fontId="0" type="noConversion"/>
  </si>
  <si>
    <t>Banded coral shrimp</t>
  </si>
  <si>
    <t>Diadema</t>
  </si>
  <si>
    <t>Echinothrix</t>
    <phoneticPr fontId="0"/>
  </si>
  <si>
    <t>Pencil urchin</t>
  </si>
  <si>
    <t>Collector urchin</t>
  </si>
  <si>
    <t>Sea cucumber</t>
  </si>
  <si>
    <t>Crown-of-thorns</t>
  </si>
  <si>
    <t>Giant clam</t>
  </si>
  <si>
    <t>Triton</t>
  </si>
  <si>
    <t>Lobster</t>
  </si>
  <si>
    <t>Giant clam (cm)</t>
  </si>
  <si>
    <t>&lt;10</t>
  </si>
  <si>
    <t>10-20</t>
  </si>
  <si>
    <t>20-30</t>
  </si>
  <si>
    <r>
      <t xml:space="preserve">Reef Check Invertebrates Graphs for </t>
    </r>
    <r>
      <rPr>
        <b/>
        <u/>
        <sz val="14"/>
        <color indexed="39"/>
        <rFont val="Arial Narrow"/>
        <family val="2"/>
      </rPr>
      <t>&lt;&lt;RC reef name, depth and date&gt;&gt;</t>
    </r>
  </si>
  <si>
    <t>30-40</t>
  </si>
  <si>
    <t>40-50</t>
  </si>
  <si>
    <t>&gt;50</t>
  </si>
  <si>
    <t>Impacts</t>
  </si>
  <si>
    <t>Boat/Anchor</t>
  </si>
  <si>
    <t>Dynamite</t>
  </si>
  <si>
    <t>Other coral damage</t>
  </si>
  <si>
    <t>Fish nets</t>
  </si>
  <si>
    <t>Trash</t>
  </si>
  <si>
    <t>Bleaching % of popn</t>
  </si>
  <si>
    <t>Mean %</t>
  </si>
  <si>
    <t>% Bleached</t>
  </si>
  <si>
    <t>-</t>
    <phoneticPr fontId="0"/>
  </si>
  <si>
    <t>% Not Bleached</t>
  </si>
  <si>
    <t>Bleaching % of colony</t>
  </si>
  <si>
    <t xml:space="preserve">Coral disease % </t>
  </si>
  <si>
    <t>% Black Band</t>
  </si>
  <si>
    <t>% White Band</t>
  </si>
  <si>
    <t>This sheet is ready to print.</t>
  </si>
  <si>
    <r>
      <t>Reef Check Impacts, Bleaching and Disease Graphs for</t>
    </r>
    <r>
      <rPr>
        <b/>
        <u/>
        <sz val="14"/>
        <color indexed="12"/>
        <rFont val="Arial Narrow"/>
        <family val="2"/>
      </rPr>
      <t xml:space="preserve"> &lt;&lt;RC Reef name, depth and date&gt;&gt;</t>
    </r>
  </si>
  <si>
    <t>Site Name:
調查點名稱</t>
  </si>
  <si>
    <t>Country/Island:
國家/島嶼：</t>
  </si>
  <si>
    <t>台灣</t>
  </si>
  <si>
    <t>Transect Depth(m):
深度：</t>
    <phoneticPr fontId="0" type="noConversion"/>
  </si>
  <si>
    <t>Team Leader:
調查隊長：</t>
  </si>
  <si>
    <t>Date: 
日期：</t>
  </si>
  <si>
    <t>Start Time:
時間：</t>
  </si>
  <si>
    <t>Team Scientist:
科學指導員：</t>
    <phoneticPr fontId="0" type="noConversion"/>
  </si>
  <si>
    <t>Temperature
水溫(ºC)：</t>
    <phoneticPr fontId="0" type="noConversion"/>
  </si>
  <si>
    <t>Visibility 
能見度(m)：</t>
    <phoneticPr fontId="0" type="noConversion"/>
  </si>
  <si>
    <t>請填寫白色格子即可</t>
    <phoneticPr fontId="0" type="noConversion"/>
  </si>
  <si>
    <t>Data recorded by (full names):
紀錄者中文全名：</t>
    <phoneticPr fontId="0" type="noConversion"/>
  </si>
  <si>
    <t>是否分開紀錄魚類體長？</t>
    <phoneticPr fontId="0" type="noConversion"/>
  </si>
  <si>
    <t>整合數據</t>
    <phoneticPr fontId="0" type="noConversion"/>
  </si>
  <si>
    <t>FISH 魚類</t>
  </si>
  <si>
    <t>Total總數</t>
  </si>
  <si>
    <t>Mean平均</t>
  </si>
  <si>
    <t>SD 標準差</t>
  </si>
  <si>
    <r>
      <t>Total</t>
    </r>
    <r>
      <rPr>
        <b/>
        <sz val="10"/>
        <rFont val="新細明體"/>
        <family val="1"/>
        <charset val="136"/>
      </rPr>
      <t>總數</t>
    </r>
  </si>
  <si>
    <r>
      <t>Mean</t>
    </r>
    <r>
      <rPr>
        <b/>
        <sz val="10"/>
        <rFont val="新細明體"/>
        <family val="1"/>
        <charset val="136"/>
      </rPr>
      <t>平均</t>
    </r>
  </si>
  <si>
    <r>
      <t xml:space="preserve">SD </t>
    </r>
    <r>
      <rPr>
        <b/>
        <sz val="10"/>
        <rFont val="新細明體"/>
        <family val="1"/>
        <charset val="136"/>
      </rPr>
      <t>標準差</t>
    </r>
  </si>
  <si>
    <t>Butterflyfish 蝴蝶魚( ≥5cm)</t>
  </si>
  <si>
    <t>Butterflyfish 蝴蝶魚</t>
  </si>
  <si>
    <t>Butterflyfish 蝴蝶魚( &lt;5cm)</t>
  </si>
  <si>
    <t>Haemulidae 石鱸</t>
  </si>
  <si>
    <t>Snapper 笛鯛</t>
  </si>
  <si>
    <t>Haemulidae 妞妞</t>
  </si>
  <si>
    <t>Barramundi cod 老鼠斑</t>
  </si>
  <si>
    <t>Snapper笛鯛( ≥20cm)</t>
  </si>
  <si>
    <t>Grouper 石斑魚 (≥30cm)</t>
    <phoneticPr fontId="0" type="noConversion"/>
  </si>
  <si>
    <t>Snapper  小笛鯛( &lt; 20cm)</t>
  </si>
  <si>
    <t>Humphead wrasse 蘇眉</t>
  </si>
  <si>
    <t xml:space="preserve">Bumphead parrotfish 隆頭鸚哥 </t>
    <phoneticPr fontId="0" type="noConversion"/>
  </si>
  <si>
    <r>
      <t>Parrotfish 鸚哥魚 （</t>
    </r>
    <r>
      <rPr>
        <b/>
        <sz val="11"/>
        <rFont val="Cambria Math"/>
        <family val="1"/>
      </rPr>
      <t>≥</t>
    </r>
    <r>
      <rPr>
        <b/>
        <sz val="11"/>
        <rFont val="微軟正黑體 Bold"/>
        <charset val="136"/>
      </rPr>
      <t>20cm)</t>
    </r>
    <phoneticPr fontId="2" type="noConversion"/>
  </si>
  <si>
    <t>Moray eel 裸胸鯙</t>
  </si>
  <si>
    <r>
      <t>Parrotfish 鸚哥魚 （</t>
    </r>
    <r>
      <rPr>
        <b/>
        <sz val="10"/>
        <rFont val="Cambria Math"/>
        <family val="1"/>
      </rPr>
      <t>≥</t>
    </r>
    <r>
      <rPr>
        <b/>
        <sz val="10"/>
        <rFont val="微軟正黑體 Bold"/>
        <charset val="136"/>
      </rPr>
      <t>20cm)</t>
    </r>
    <phoneticPr fontId="0" type="noConversion"/>
  </si>
  <si>
    <t>Parrotfish 鸚哥魚 （&lt;20cm)</t>
  </si>
  <si>
    <t>Grouper 石斑魚 &lt; 30cm</t>
    <phoneticPr fontId="0" type="noConversion"/>
  </si>
  <si>
    <t>Grouper 30-40 cm</t>
  </si>
  <si>
    <t>Grouper 40-50 cm</t>
  </si>
  <si>
    <t>Grouper 50-60 cm</t>
  </si>
  <si>
    <t>Grouper &gt;60 cm</t>
  </si>
  <si>
    <t>Grouper total 石斑魚總數</t>
  </si>
  <si>
    <t>INVERTS 無脊椎類</t>
    <phoneticPr fontId="0" type="noConversion"/>
  </si>
  <si>
    <t>Total</t>
  </si>
  <si>
    <t>Banded coral shrimp 清潔蝦</t>
    <phoneticPr fontId="0" type="noConversion"/>
  </si>
  <si>
    <t>Diadema 魔鬼海膽</t>
    <phoneticPr fontId="0" type="noConversion"/>
  </si>
  <si>
    <t>Echinothrix 刺棘海膽</t>
    <phoneticPr fontId="0" type="noConversion"/>
  </si>
  <si>
    <t>Pencil urchin鉛筆海膽</t>
  </si>
  <si>
    <t>Collector urchin馬糞海膽</t>
  </si>
  <si>
    <t>Sea cucumber海參</t>
  </si>
  <si>
    <t>Crown-of-thorns棘冠海星</t>
  </si>
  <si>
    <t>Triton大法螺</t>
  </si>
  <si>
    <t>Lobster龍蝦</t>
  </si>
  <si>
    <t>Giant clam硨磲貝</t>
  </si>
  <si>
    <t>Giant clam &lt;10 cm</t>
  </si>
  <si>
    <t>Giant clam 10-20 cm</t>
  </si>
  <si>
    <t>Giant clam 20-30 cm</t>
  </si>
  <si>
    <t>Giant clam 30-40 cm</t>
  </si>
  <si>
    <t>Giant clam 40-50 cm</t>
  </si>
  <si>
    <t>Giant clam &gt;50 cm</t>
  </si>
  <si>
    <t>Giant clam total</t>
  </si>
  <si>
    <r>
      <t>Impacts: Coral Damage/Disease/Bleaching/Trash 
環境影響：珊瑚損壞/疾病/白化/垃圾</t>
    </r>
    <r>
      <rPr>
        <b/>
        <sz val="14"/>
        <color rgb="FFFF0000"/>
        <rFont val="微軟正黑體 Bold"/>
        <charset val="136"/>
      </rPr>
      <t xml:space="preserve">                                                          </t>
    </r>
    <phoneticPr fontId="0" type="noConversion"/>
  </si>
  <si>
    <t>0 = none, 1 = low (1 piece), 2 = medium (2-4 pieces) and 3 = high (5+ pieces)
0＝無， 1＝低 （1件），2＝中等（2－4件），3＝高 （5＋件）</t>
  </si>
  <si>
    <t>算算看個數，統計以右側表格為主</t>
    <phoneticPr fontId="0" type="noConversion"/>
  </si>
  <si>
    <t>SE</t>
    <phoneticPr fontId="0" type="noConversion"/>
  </si>
  <si>
    <t>自動分級</t>
    <phoneticPr fontId="0" type="noConversion"/>
  </si>
  <si>
    <t>Coral damage: boat/anchor 
珊瑚損害：船錨</t>
  </si>
  <si>
    <t>Coral damage: dynamite
珊瑚損害：炸魚</t>
  </si>
  <si>
    <t>Coral damage: other
珊瑚損害：其他（請註明）</t>
  </si>
  <si>
    <t>Trash: fish nets
漁業垃圾</t>
  </si>
  <si>
    <t>Trash: general 
一般垃圾</t>
  </si>
  <si>
    <t>Rare animals sighted (#/type/size)
罕見生物 （數量/種類/體長）</t>
  </si>
  <si>
    <t>Sharks 鯊魚</t>
  </si>
  <si>
    <t>Turtles 海龜</t>
  </si>
  <si>
    <t xml:space="preserve">Mantas 魟 </t>
  </si>
  <si>
    <t>Comments: 
備註：</t>
  </si>
  <si>
    <t>Bleaching (% of population)*
珊瑚白化 （佔珊瑚總體的％）</t>
  </si>
  <si>
    <t>Bleaching (% of colony)
珊瑚白化 （佔珊瑚群體的％）</t>
  </si>
  <si>
    <t>Coral Disease (% colonies affected)  
珊瑚疾病 （佔珊瑚總體的％）</t>
  </si>
  <si>
    <t>Black Band黑帶病</t>
  </si>
  <si>
    <t>White Band白帶病</t>
  </si>
  <si>
    <t>*If you have estimated the % of bleached HC on your substrate sheet (LINE 37 of DATA worksheet), copy the numbers into the Bleaching (% of coral population) field (LINE 55)</t>
  </si>
  <si>
    <t>FILL IN WHITE BOXES ONLY</t>
  </si>
  <si>
    <t>PLEASE TURN TO THE GRAPHS TAB</t>
  </si>
  <si>
    <t>HOW TO USE THE DATA SHEET</t>
  </si>
  <si>
    <r>
      <t xml:space="preserve">1. Enter your data into the white boxes on the </t>
    </r>
    <r>
      <rPr>
        <b/>
        <u/>
        <sz val="12"/>
        <rFont val="Arial"/>
        <family val="2"/>
      </rPr>
      <t>DATA</t>
    </r>
    <r>
      <rPr>
        <sz val="12"/>
        <rFont val="Arial"/>
        <family val="2"/>
      </rPr>
      <t xml:space="preserve"> worksheet. You will find that you can't type anywhere else because the rest of the sheet is locked.</t>
    </r>
  </si>
  <si>
    <t xml:space="preserve">2. Use the substrate codes provided but ensure there is no space after the code letters or the computer program will not recognize the code. Only enter one code per box. </t>
  </si>
  <si>
    <t>Please check you have entered the data correctly</t>
  </si>
  <si>
    <t>3. For each transect segment, check that the total columns add up to 40. This is colored in red for you.</t>
  </si>
  <si>
    <t>4. Also double check that all of the codes were entered in correctly from the spreadsheet.</t>
  </si>
  <si>
    <t>What happens if the segment totals are less than 40?</t>
  </si>
  <si>
    <t>5. You may have entered in a code wrong  - first check this. If all the codes look right, you may have put a space after the code letters.</t>
  </si>
  <si>
    <t>HOW TO ANALYZE THE DATA</t>
  </si>
  <si>
    <r>
      <t xml:space="preserve">1. As you enter your data, graphs are produced simultaneously and automatically on the </t>
    </r>
    <r>
      <rPr>
        <b/>
        <u/>
        <sz val="12"/>
        <rFont val="Arial"/>
        <family val="2"/>
      </rPr>
      <t>GRAPHS</t>
    </r>
    <r>
      <rPr>
        <sz val="12"/>
        <rFont val="Arial"/>
        <family val="2"/>
      </rPr>
      <t xml:space="preserve"> worksheet. </t>
    </r>
  </si>
  <si>
    <r>
      <t xml:space="preserve">2. All you have to do is enter the site name, date and depth of the survey by replacing the words in </t>
    </r>
    <r>
      <rPr>
        <sz val="12"/>
        <color indexed="39"/>
        <rFont val="Arial"/>
        <family val="2"/>
      </rPr>
      <t xml:space="preserve">blue </t>
    </r>
    <r>
      <rPr>
        <sz val="12"/>
        <rFont val="Arial"/>
        <family val="2"/>
      </rPr>
      <t>on the graph title. You can then change the blue writing to black by selecting the text and using the text color button in the formatting toolbar.</t>
    </r>
  </si>
  <si>
    <t>3. The graphs page is ready to print, or you can select the graphs you want and copy them into a Word document.</t>
  </si>
  <si>
    <t>HOW TO SEND THE DATA</t>
  </si>
  <si>
    <t>1. First you need to save and name the data sheet. Please use our standard format:</t>
  </si>
  <si>
    <t>site name, date (dd-mm-yy), datasheet type (site, belt, or line), depth (s or m for shallow, 2 – 6 m, or medium &gt;6 – 12  m).  Site description sheet should just have: site name date (dd-mm-yy) site</t>
  </si>
  <si>
    <t>For example, if we did a survey at Paradise Reef on December 13, 2002 at 3m and 11m:</t>
  </si>
  <si>
    <t>Paradise 13-12-02 site</t>
  </si>
  <si>
    <t>Paradise 13-12-02 belt s</t>
  </si>
  <si>
    <t>Paradise 13-12-02 belt m</t>
  </si>
  <si>
    <t>Paradise 13-12-02 line s</t>
  </si>
  <si>
    <t>Paradise 13-12-02 line m</t>
  </si>
  <si>
    <t>Note that there are 5 files associated with a complete Reef Check survey done at two depths at one site.</t>
  </si>
  <si>
    <t>2. Please send these sheets to rcdata@reefcheck.org</t>
  </si>
  <si>
    <t>HOW TO INTERPRET THE GRAPHS</t>
  </si>
  <si>
    <t>The substrate graphs show the percentage of the sea floor covered by the Reef Check substrate categories. The bars on each of the column graphs are called "error bars" and represent the Standard Error (SE). The SE tells us to what degree our data represents the real world (how accurately our sample mean estimates the population mean). Where SE is low,  the data are precise and closely represent the true population of where you sampled on the coral reef. Where SE is high, the data do not precisely represent the real world. To increase precision, and decrease your SE, more replicates (more Reef Check transects) can be done.</t>
  </si>
  <si>
    <t>Where these SE error bars overlap with one another, the differences in the percent cover are not statistically significant (regardless of how different the means may be). Where these SE error bars do not overlap, the differences in the percentage cover of substrates MAY be statistically significantly different.</t>
  </si>
  <si>
    <t>Another useful measure to help us interpret our data is the Standard Deviation (SD), calculated on the DATA worksheet. The SD tells us how widely the distribution of observations are distributed around the mean - or how variable our sample is. However, the SD does not tell us how closely the sample mean estimates the population mean.</t>
  </si>
  <si>
    <t>If it is important for you to determine if differences are statistically significantly different, you will need to do further statistical tests e.g. t-test or ANOVA for data with a normal distribution, and non-parametric tests such as Kruskal-Wallis or Mann-Whitney U test for data with non-normal distributions. Should statistical differences be found, post hoc tests may be required to determine where statistical differences lie.</t>
  </si>
  <si>
    <t>Bear in mind that what we are most interested in is whether changes on the coral reef are ecologically significant, and in some circumstances it may be enough just to look at the graphs.</t>
  </si>
  <si>
    <t>Useful Publications:</t>
  </si>
  <si>
    <t>For a really basic, but very good, stats primer, try "The Statistical Sleuth - A Course in Methods of Data Analysis", by F. Ramsey and D. Schafer, 2002, Duxbury Press.</t>
  </si>
  <si>
    <t>For ANOVAs, try "Experiments in ecology: their logical design and interpretation using analysis of variance" by A. J. Underwood, 1997, Cambridge University Press.</t>
  </si>
  <si>
    <t>For general stats, "Experimental Design and Data Analysis for Biologists", by G. P. Quinn and M. J. Keough, 2002, Cambridge University 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</si>
</sst>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8">
    <font>
      <sz val="10"/>
      <name val="Arial"/>
    </font>
    <font>
      <b/>
      <sz val="10"/>
      <name val="Arial"/>
      <family val="2"/>
    </font>
    <font>
      <sz val="10"/>
      <name val="Arial"/>
      <family val="2"/>
    </font>
    <font>
      <sz val="11"/>
      <name val="Arial"/>
      <family val="2"/>
    </font>
    <font>
      <b/>
      <sz val="11"/>
      <name val="Arial"/>
      <family val="2"/>
    </font>
    <font>
      <b/>
      <sz val="11"/>
      <color indexed="10"/>
      <name val="Arial"/>
      <family val="2"/>
    </font>
    <font>
      <sz val="10"/>
      <color indexed="10"/>
      <name val="Arial"/>
      <family val="2"/>
    </font>
    <font>
      <sz val="10"/>
      <name val="Arial Narrow"/>
      <family val="2"/>
    </font>
    <font>
      <b/>
      <u/>
      <sz val="14"/>
      <name val="Arial Narrow"/>
      <family val="2"/>
    </font>
    <font>
      <b/>
      <u/>
      <sz val="14"/>
      <color indexed="10"/>
      <name val="Arial Narrow"/>
      <family val="2"/>
    </font>
    <font>
      <b/>
      <sz val="12"/>
      <name val="Arial"/>
      <family val="2"/>
    </font>
    <font>
      <sz val="12"/>
      <name val="Arial"/>
      <family val="2"/>
    </font>
    <font>
      <b/>
      <u/>
      <sz val="12"/>
      <name val="Arial"/>
      <family val="2"/>
    </font>
    <font>
      <u/>
      <sz val="12"/>
      <name val="Arial"/>
      <family val="2"/>
    </font>
    <font>
      <sz val="12"/>
      <color indexed="10"/>
      <name val="Arial"/>
      <family val="2"/>
    </font>
    <font>
      <sz val="10"/>
      <color indexed="48"/>
      <name val="Arial"/>
      <family val="2"/>
    </font>
    <font>
      <sz val="14"/>
      <name val="Arial Narrow"/>
      <family val="2"/>
    </font>
    <font>
      <b/>
      <u/>
      <sz val="14"/>
      <color indexed="12"/>
      <name val="Arial Narrow"/>
      <family val="2"/>
    </font>
    <font>
      <u/>
      <sz val="12"/>
      <color indexed="10"/>
      <name val="Arial"/>
      <family val="2"/>
    </font>
    <font>
      <u/>
      <sz val="10"/>
      <name val="Arial"/>
      <family val="2"/>
    </font>
    <font>
      <b/>
      <u/>
      <sz val="14"/>
      <color indexed="39"/>
      <name val="Arial Narrow"/>
      <family val="2"/>
    </font>
    <font>
      <b/>
      <i/>
      <sz val="12"/>
      <name val="Arial"/>
      <family val="2"/>
    </font>
    <font>
      <b/>
      <sz val="12"/>
      <name val="Times New Roman"/>
      <family val="1"/>
    </font>
    <font>
      <sz val="12"/>
      <color indexed="39"/>
      <name val="Arial"/>
      <family val="2"/>
    </font>
    <font>
      <b/>
      <sz val="10"/>
      <name val="Arial"/>
      <family val="2"/>
    </font>
    <font>
      <i/>
      <sz val="12"/>
      <name val="Arial"/>
      <family val="2"/>
    </font>
    <font>
      <b/>
      <sz val="9"/>
      <name val="Arial Narrow"/>
      <family val="2"/>
    </font>
    <font>
      <b/>
      <sz val="11.5"/>
      <name val="Arial"/>
      <family val="2"/>
    </font>
    <font>
      <b/>
      <i/>
      <sz val="11"/>
      <name val="Arial"/>
      <family val="2"/>
    </font>
    <font>
      <b/>
      <sz val="10"/>
      <name val="新細明體"/>
      <family val="1"/>
      <charset val="136"/>
    </font>
    <font>
      <sz val="9"/>
      <name val="細明體"/>
      <family val="1"/>
      <charset val="136"/>
    </font>
    <font>
      <sz val="10"/>
      <color rgb="FF000000"/>
      <name val="Arial"/>
      <family val="2"/>
    </font>
    <font>
      <sz val="10"/>
      <color rgb="FF000000"/>
      <name val="Microsoft JhengHei"/>
      <family val="2"/>
    </font>
    <font>
      <b/>
      <sz val="10"/>
      <color rgb="FF000000"/>
      <name val="Arial"/>
      <family val="2"/>
    </font>
    <font>
      <b/>
      <sz val="10"/>
      <color rgb="FF000000"/>
      <name val="Microsoft JhengHei"/>
      <family val="2"/>
    </font>
    <font>
      <sz val="9"/>
      <name val="JasonHandwriting1"/>
      <family val="3"/>
      <charset val="136"/>
    </font>
    <font>
      <b/>
      <sz val="11"/>
      <name val="Calibri"/>
      <family val="2"/>
    </font>
    <font>
      <sz val="10"/>
      <name val="Calibri"/>
      <family val="2"/>
    </font>
    <font>
      <b/>
      <sz val="10"/>
      <name val="微軟正黑體 Bold"/>
      <charset val="136"/>
    </font>
    <font>
      <sz val="10"/>
      <name val="微軟正黑體 Bold"/>
      <charset val="136"/>
    </font>
    <font>
      <b/>
      <sz val="16"/>
      <name val="微軟正黑體 Bold"/>
      <charset val="136"/>
    </font>
    <font>
      <sz val="11"/>
      <color indexed="10"/>
      <name val="微軟正黑體 Bold"/>
      <charset val="136"/>
    </font>
    <font>
      <sz val="11"/>
      <name val="微軟正黑體 Bold"/>
      <charset val="136"/>
    </font>
    <font>
      <i/>
      <sz val="10"/>
      <name val="微軟正黑體 Bold"/>
      <charset val="136"/>
    </font>
    <font>
      <b/>
      <i/>
      <sz val="10"/>
      <name val="微軟正黑體 Bold"/>
      <charset val="136"/>
    </font>
    <font>
      <b/>
      <sz val="14"/>
      <name val="微軟正黑體 Bold"/>
      <charset val="136"/>
    </font>
    <font>
      <sz val="12"/>
      <name val="微軟正黑體 Bold"/>
      <charset val="136"/>
    </font>
    <font>
      <b/>
      <sz val="12"/>
      <name val="微軟正黑體 Bold"/>
      <charset val="136"/>
    </font>
    <font>
      <b/>
      <sz val="14"/>
      <color rgb="FFFF0000"/>
      <name val="微軟正黑體 Bold"/>
      <charset val="136"/>
    </font>
    <font>
      <b/>
      <sz val="11"/>
      <name val="微軟正黑體 Bold"/>
      <charset val="136"/>
    </font>
    <font>
      <b/>
      <sz val="11"/>
      <color indexed="10"/>
      <name val="微軟正黑體 Bold"/>
      <charset val="136"/>
    </font>
    <font>
      <sz val="12"/>
      <color indexed="10"/>
      <name val="微軟正黑體 Bold"/>
      <charset val="136"/>
    </font>
    <font>
      <sz val="16"/>
      <name val="微軟正黑體 Bold"/>
      <charset val="136"/>
    </font>
    <font>
      <b/>
      <sz val="12"/>
      <color theme="3" tint="0.39997558519241921"/>
      <name val="微軟正黑體 Bold"/>
      <charset val="136"/>
    </font>
    <font>
      <b/>
      <i/>
      <sz val="6"/>
      <name val="微軟正黑體 Bold"/>
      <charset val="136"/>
    </font>
    <font>
      <b/>
      <sz val="11"/>
      <name val="Cambria Math"/>
      <family val="1"/>
    </font>
    <font>
      <b/>
      <sz val="10"/>
      <name val="Cambria Math"/>
      <family val="1"/>
    </font>
    <font>
      <sz val="9"/>
      <name val="Microsoft JhengHei"/>
      <family val="2"/>
    </font>
  </fonts>
  <fills count="9">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rgb="FFE3E3E3"/>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000"/>
        <bgColor indexed="64"/>
      </patternFill>
    </fill>
  </fills>
  <borders count="80">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double">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tted">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style="medium">
        <color indexed="64"/>
      </right>
      <top/>
      <bottom style="dashed">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dotted">
        <color indexed="64"/>
      </bottom>
      <diagonal/>
    </border>
  </borders>
  <cellStyleXfs count="3">
    <xf numFmtId="0" fontId="0" fillId="0" borderId="0"/>
    <xf numFmtId="0" fontId="31" fillId="0" borderId="0"/>
    <xf numFmtId="9" fontId="2" fillId="0" borderId="0" applyFont="0" applyFill="0" applyBorder="0" applyAlignment="0" applyProtection="0"/>
  </cellStyleXfs>
  <cellXfs count="398">
    <xf numFmtId="0" fontId="0" fillId="0" borderId="0" xfId="0"/>
    <xf numFmtId="0" fontId="1" fillId="2" borderId="1" xfId="0" applyFont="1" applyFill="1" applyBorder="1"/>
    <xf numFmtId="0" fontId="3" fillId="0" borderId="0" xfId="0" applyFont="1"/>
    <xf numFmtId="0" fontId="3" fillId="0" borderId="0" xfId="0" applyFont="1" applyAlignment="1">
      <alignment wrapText="1"/>
    </xf>
    <xf numFmtId="0" fontId="4" fillId="2" borderId="4" xfId="0" applyFont="1" applyFill="1" applyBorder="1" applyAlignment="1">
      <alignment wrapText="1"/>
    </xf>
    <xf numFmtId="0" fontId="3" fillId="3" borderId="0" xfId="0" applyFont="1" applyFill="1" applyAlignment="1">
      <alignment wrapText="1"/>
    </xf>
    <xf numFmtId="0" fontId="3" fillId="3" borderId="0" xfId="0" applyFont="1" applyFill="1"/>
    <xf numFmtId="0" fontId="4"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4" fillId="2" borderId="3" xfId="0" applyFont="1" applyFill="1" applyBorder="1" applyAlignment="1">
      <alignment horizontal="center" vertical="center"/>
    </xf>
    <xf numFmtId="0" fontId="3" fillId="3" borderId="1" xfId="0" applyFont="1" applyFill="1" applyBorder="1"/>
    <xf numFmtId="0" fontId="3" fillId="3" borderId="2" xfId="0" applyFont="1" applyFill="1" applyBorder="1"/>
    <xf numFmtId="0" fontId="3" fillId="3" borderId="5" xfId="0" applyFont="1" applyFill="1" applyBorder="1"/>
    <xf numFmtId="0" fontId="3" fillId="3" borderId="6" xfId="0" applyFont="1" applyFill="1" applyBorder="1"/>
    <xf numFmtId="0" fontId="3" fillId="3" borderId="7" xfId="0" applyFont="1" applyFill="1" applyBorder="1"/>
    <xf numFmtId="0" fontId="11" fillId="3" borderId="0" xfId="0" applyFont="1" applyFill="1"/>
    <xf numFmtId="0" fontId="11" fillId="0" borderId="0" xfId="0" applyFont="1"/>
    <xf numFmtId="0" fontId="14" fillId="3" borderId="0" xfId="0" applyFont="1" applyFill="1" applyAlignment="1">
      <alignment wrapText="1"/>
    </xf>
    <xf numFmtId="0" fontId="11" fillId="3" borderId="0" xfId="0" applyFont="1" applyFill="1" applyAlignment="1">
      <alignment wrapText="1"/>
    </xf>
    <xf numFmtId="0" fontId="0" fillId="3" borderId="0" xfId="0" applyFill="1"/>
    <xf numFmtId="0" fontId="5" fillId="3" borderId="0" xfId="0" applyFont="1" applyFill="1"/>
    <xf numFmtId="0" fontId="8" fillId="3" borderId="1" xfId="0" applyFont="1" applyFill="1" applyBorder="1" applyAlignment="1">
      <alignment horizontal="center" wrapText="1"/>
    </xf>
    <xf numFmtId="0" fontId="8" fillId="3" borderId="2" xfId="0" applyFont="1" applyFill="1" applyBorder="1" applyAlignment="1">
      <alignment horizontal="center" wrapText="1"/>
    </xf>
    <xf numFmtId="0" fontId="18" fillId="3" borderId="0" xfId="0" applyFont="1" applyFill="1" applyAlignment="1">
      <alignment wrapText="1"/>
    </xf>
    <xf numFmtId="0" fontId="19" fillId="3" borderId="0" xfId="0" applyFont="1" applyFill="1"/>
    <xf numFmtId="0" fontId="11" fillId="3" borderId="0" xfId="0" applyFont="1" applyFill="1" applyAlignment="1">
      <alignment horizontal="justify" wrapText="1"/>
    </xf>
    <xf numFmtId="0" fontId="1" fillId="2" borderId="8" xfId="0" applyFont="1" applyFill="1" applyBorder="1" applyAlignment="1" applyProtection="1">
      <alignment wrapText="1"/>
      <protection locked="0"/>
    </xf>
    <xf numFmtId="0" fontId="1" fillId="2" borderId="1" xfId="0" applyFont="1" applyFill="1" applyBorder="1" applyProtection="1">
      <protection locked="0"/>
    </xf>
    <xf numFmtId="0" fontId="1" fillId="2" borderId="1" xfId="0" applyFont="1" applyFill="1" applyBorder="1" applyAlignment="1" applyProtection="1">
      <alignment wrapText="1"/>
      <protection locked="0"/>
    </xf>
    <xf numFmtId="0" fontId="1" fillId="2" borderId="5" xfId="0" applyFont="1" applyFill="1" applyBorder="1" applyProtection="1">
      <protection locked="0"/>
    </xf>
    <xf numFmtId="0" fontId="10" fillId="3" borderId="9" xfId="0" applyFont="1" applyFill="1" applyBorder="1" applyAlignment="1">
      <alignment horizontal="right"/>
    </xf>
    <xf numFmtId="0" fontId="10" fillId="3" borderId="0" xfId="0" applyFont="1" applyFill="1"/>
    <xf numFmtId="0" fontId="10" fillId="3" borderId="0" xfId="0" applyFont="1" applyFill="1" applyAlignment="1" applyProtection="1">
      <alignment horizontal="center"/>
      <protection locked="0"/>
    </xf>
    <xf numFmtId="0" fontId="10" fillId="3" borderId="0" xfId="0" applyFont="1" applyFill="1" applyAlignment="1">
      <alignment horizontal="right"/>
    </xf>
    <xf numFmtId="0" fontId="10" fillId="3" borderId="1" xfId="0" applyFont="1" applyFill="1" applyBorder="1"/>
    <xf numFmtId="0" fontId="10" fillId="3" borderId="3" xfId="0" applyFont="1" applyFill="1" applyBorder="1" applyAlignment="1">
      <alignment horizontal="center"/>
    </xf>
    <xf numFmtId="0" fontId="10" fillId="3" borderId="9" xfId="0" applyFont="1" applyFill="1" applyBorder="1" applyAlignment="1">
      <alignment horizontal="center"/>
    </xf>
    <xf numFmtId="0" fontId="10" fillId="3" borderId="11" xfId="0" applyFont="1" applyFill="1" applyBorder="1" applyAlignment="1">
      <alignment horizontal="center"/>
    </xf>
    <xf numFmtId="0" fontId="10" fillId="3" borderId="10" xfId="0" applyFont="1" applyFill="1" applyBorder="1" applyAlignment="1">
      <alignment horizontal="center"/>
    </xf>
    <xf numFmtId="0" fontId="10" fillId="3" borderId="12" xfId="0" applyFont="1" applyFill="1" applyBorder="1" applyProtection="1">
      <protection locked="0"/>
    </xf>
    <xf numFmtId="0" fontId="10" fillId="3" borderId="13" xfId="0" applyFont="1" applyFill="1" applyBorder="1" applyAlignment="1">
      <alignment horizontal="center"/>
    </xf>
    <xf numFmtId="0" fontId="10" fillId="3" borderId="14" xfId="0" applyFont="1" applyFill="1" applyBorder="1" applyAlignment="1">
      <alignment horizontal="center"/>
    </xf>
    <xf numFmtId="0" fontId="10" fillId="0" borderId="0" xfId="0" applyFont="1"/>
    <xf numFmtId="0" fontId="11" fillId="3" borderId="0" xfId="0" applyFont="1" applyFill="1" applyProtection="1">
      <protection locked="0"/>
    </xf>
    <xf numFmtId="0" fontId="22" fillId="3" borderId="0" xfId="0" applyFont="1" applyFill="1"/>
    <xf numFmtId="0" fontId="22" fillId="3" borderId="2" xfId="0" applyFont="1" applyFill="1" applyBorder="1"/>
    <xf numFmtId="0" fontId="22" fillId="0" borderId="0" xfId="0" applyFont="1"/>
    <xf numFmtId="0" fontId="10" fillId="3" borderId="8" xfId="0" applyFont="1" applyFill="1" applyBorder="1"/>
    <xf numFmtId="0" fontId="10" fillId="3" borderId="0" xfId="0" applyFont="1" applyFill="1" applyAlignment="1">
      <alignment wrapText="1"/>
    </xf>
    <xf numFmtId="0" fontId="10" fillId="3" borderId="15" xfId="0" applyFont="1" applyFill="1" applyBorder="1" applyAlignment="1" applyProtection="1">
      <alignment wrapText="1"/>
      <protection locked="0"/>
    </xf>
    <xf numFmtId="0" fontId="10" fillId="0" borderId="0" xfId="0" applyFont="1" applyAlignment="1">
      <alignment wrapText="1"/>
    </xf>
    <xf numFmtId="0" fontId="11" fillId="3" borderId="9" xfId="0" applyFont="1" applyFill="1" applyBorder="1"/>
    <xf numFmtId="0" fontId="10" fillId="3" borderId="8" xfId="0" applyFont="1" applyFill="1" applyBorder="1" applyAlignment="1">
      <alignment horizontal="left"/>
    </xf>
    <xf numFmtId="0" fontId="10" fillId="3" borderId="1" xfId="0" applyFont="1" applyFill="1" applyBorder="1" applyAlignment="1">
      <alignment horizontal="left"/>
    </xf>
    <xf numFmtId="0" fontId="10" fillId="3" borderId="16" xfId="0" applyFont="1" applyFill="1" applyBorder="1" applyAlignment="1" applyProtection="1">
      <alignment horizontal="center"/>
      <protection locked="0"/>
    </xf>
    <xf numFmtId="0" fontId="10" fillId="3" borderId="16" xfId="0" applyFont="1" applyFill="1" applyBorder="1" applyAlignment="1">
      <alignment horizontal="right"/>
    </xf>
    <xf numFmtId="0" fontId="10" fillId="3" borderId="17" xfId="0" applyFont="1" applyFill="1" applyBorder="1"/>
    <xf numFmtId="0" fontId="10" fillId="3" borderId="9" xfId="0" applyFont="1" applyFill="1" applyBorder="1"/>
    <xf numFmtId="0" fontId="10" fillId="3" borderId="18" xfId="0" applyFont="1" applyFill="1" applyBorder="1"/>
    <xf numFmtId="0" fontId="10" fillId="3" borderId="2" xfId="0" applyFont="1" applyFill="1" applyBorder="1"/>
    <xf numFmtId="0" fontId="10" fillId="3" borderId="2" xfId="0" applyFont="1" applyFill="1" applyBorder="1" applyAlignment="1">
      <alignment wrapText="1"/>
    </xf>
    <xf numFmtId="0" fontId="21" fillId="3" borderId="5" xfId="0" applyFont="1" applyFill="1" applyBorder="1"/>
    <xf numFmtId="0" fontId="21" fillId="3" borderId="6" xfId="0" applyFont="1" applyFill="1" applyBorder="1"/>
    <xf numFmtId="0" fontId="10" fillId="0" borderId="16" xfId="0" applyFont="1" applyBorder="1"/>
    <xf numFmtId="0" fontId="11" fillId="3" borderId="2" xfId="0" applyFont="1" applyFill="1" applyBorder="1"/>
    <xf numFmtId="0" fontId="10" fillId="3" borderId="19" xfId="0" applyFont="1" applyFill="1" applyBorder="1" applyAlignment="1" applyProtection="1">
      <alignment wrapText="1"/>
      <protection locked="0"/>
    </xf>
    <xf numFmtId="0" fontId="10" fillId="3" borderId="9" xfId="0" applyFont="1" applyFill="1" applyBorder="1" applyProtection="1">
      <protection locked="0"/>
    </xf>
    <xf numFmtId="0" fontId="10" fillId="3" borderId="20" xfId="0" applyFont="1" applyFill="1" applyBorder="1" applyAlignment="1" applyProtection="1">
      <alignment wrapText="1"/>
      <protection locked="0"/>
    </xf>
    <xf numFmtId="0" fontId="10" fillId="3" borderId="21" xfId="0" applyFont="1" applyFill="1" applyBorder="1" applyAlignment="1">
      <alignment horizontal="right" wrapText="1"/>
    </xf>
    <xf numFmtId="0" fontId="10" fillId="3" borderId="22" xfId="0" applyFont="1" applyFill="1" applyBorder="1" applyAlignment="1">
      <alignment horizontal="right" wrapText="1"/>
    </xf>
    <xf numFmtId="0" fontId="10" fillId="3" borderId="23" xfId="0" applyFont="1" applyFill="1" applyBorder="1" applyProtection="1">
      <protection locked="0"/>
    </xf>
    <xf numFmtId="0" fontId="10" fillId="3" borderId="20" xfId="0" applyFont="1" applyFill="1" applyBorder="1" applyProtection="1">
      <protection locked="0"/>
    </xf>
    <xf numFmtId="0" fontId="10" fillId="3" borderId="24" xfId="0" applyFont="1" applyFill="1" applyBorder="1" applyProtection="1">
      <protection locked="0"/>
    </xf>
    <xf numFmtId="0" fontId="10" fillId="3" borderId="25" xfId="0" applyFont="1" applyFill="1" applyBorder="1" applyAlignment="1" applyProtection="1">
      <alignment horizontal="right" wrapText="1"/>
      <protection locked="0"/>
    </xf>
    <xf numFmtId="0" fontId="10" fillId="3" borderId="20" xfId="0" applyFont="1" applyFill="1" applyBorder="1" applyAlignment="1" applyProtection="1">
      <alignment horizontal="right" wrapText="1"/>
      <protection locked="0"/>
    </xf>
    <xf numFmtId="0" fontId="10" fillId="3" borderId="15" xfId="0" applyFont="1" applyFill="1" applyBorder="1" applyAlignment="1" applyProtection="1">
      <alignment horizontal="right" wrapText="1"/>
      <protection locked="0"/>
    </xf>
    <xf numFmtId="0" fontId="10" fillId="3" borderId="26" xfId="0" applyFont="1" applyFill="1" applyBorder="1" applyAlignment="1" applyProtection="1">
      <alignment horizontal="right" wrapText="1"/>
      <protection locked="0"/>
    </xf>
    <xf numFmtId="0" fontId="11" fillId="3" borderId="13" xfId="0" applyFont="1" applyFill="1" applyBorder="1"/>
    <xf numFmtId="0" fontId="10" fillId="3" borderId="27" xfId="0" applyFont="1" applyFill="1" applyBorder="1" applyProtection="1">
      <protection locked="0"/>
    </xf>
    <xf numFmtId="0" fontId="10" fillId="3" borderId="13" xfId="0" applyFont="1" applyFill="1" applyBorder="1" applyProtection="1">
      <protection locked="0"/>
    </xf>
    <xf numFmtId="0" fontId="10" fillId="3" borderId="28" xfId="0" applyFont="1" applyFill="1" applyBorder="1" applyAlignment="1" applyProtection="1">
      <alignment wrapText="1"/>
      <protection locked="0"/>
    </xf>
    <xf numFmtId="0" fontId="10" fillId="3" borderId="13" xfId="0" applyFont="1" applyFill="1" applyBorder="1"/>
    <xf numFmtId="0" fontId="10" fillId="3" borderId="13" xfId="0" applyFont="1" applyFill="1" applyBorder="1" applyAlignment="1">
      <alignment vertical="center" wrapText="1"/>
    </xf>
    <xf numFmtId="0" fontId="4" fillId="2" borderId="11" xfId="0" applyFont="1" applyFill="1" applyBorder="1" applyAlignment="1">
      <alignment horizontal="center"/>
    </xf>
    <xf numFmtId="0" fontId="4" fillId="2" borderId="10" xfId="0" applyFont="1" applyFill="1" applyBorder="1" applyAlignment="1">
      <alignment horizontal="center"/>
    </xf>
    <xf numFmtId="0" fontId="3" fillId="2" borderId="8" xfId="0" applyFont="1" applyFill="1" applyBorder="1" applyAlignment="1">
      <alignment horizontal="center"/>
    </xf>
    <xf numFmtId="0" fontId="3" fillId="2" borderId="11" xfId="0" applyFont="1" applyFill="1" applyBorder="1" applyAlignment="1">
      <alignment horizontal="center"/>
    </xf>
    <xf numFmtId="0" fontId="3" fillId="2" borderId="1" xfId="0" applyFont="1" applyFill="1" applyBorder="1" applyAlignment="1">
      <alignment horizontal="center"/>
    </xf>
    <xf numFmtId="0" fontId="3" fillId="2" borderId="28" xfId="0" applyFont="1" applyFill="1" applyBorder="1" applyAlignment="1">
      <alignment horizontal="center"/>
    </xf>
    <xf numFmtId="0" fontId="3" fillId="2" borderId="5" xfId="0" applyFont="1" applyFill="1" applyBorder="1" applyAlignment="1">
      <alignment horizontal="center"/>
    </xf>
    <xf numFmtId="0" fontId="3" fillId="2" borderId="24" xfId="0" applyFont="1" applyFill="1" applyBorder="1" applyAlignment="1">
      <alignment horizontal="center"/>
    </xf>
    <xf numFmtId="0" fontId="3" fillId="3" borderId="0" xfId="0" applyFont="1" applyFill="1" applyAlignment="1">
      <alignment horizontal="center"/>
    </xf>
    <xf numFmtId="0" fontId="4" fillId="2" borderId="3" xfId="0" applyFont="1" applyFill="1" applyBorder="1" applyAlignment="1">
      <alignment horizontal="center"/>
    </xf>
    <xf numFmtId="0" fontId="4" fillId="2" borderId="14" xfId="0" applyFont="1" applyFill="1" applyBorder="1" applyAlignment="1">
      <alignment horizontal="center"/>
    </xf>
    <xf numFmtId="0" fontId="3" fillId="0" borderId="0" xfId="0" applyFont="1" applyAlignment="1">
      <alignment horizontal="center"/>
    </xf>
    <xf numFmtId="0" fontId="24" fillId="2" borderId="0" xfId="0" applyFont="1" applyFill="1" applyAlignment="1">
      <alignment wrapText="1"/>
    </xf>
    <xf numFmtId="0" fontId="4" fillId="2" borderId="4" xfId="0" applyFont="1" applyFill="1" applyBorder="1" applyAlignment="1">
      <alignment vertical="center" wrapText="1"/>
    </xf>
    <xf numFmtId="49" fontId="24" fillId="2" borderId="1" xfId="0" applyNumberFormat="1" applyFont="1" applyFill="1" applyBorder="1"/>
    <xf numFmtId="49" fontId="24" fillId="2" borderId="5" xfId="0" applyNumberFormat="1" applyFont="1" applyFill="1" applyBorder="1"/>
    <xf numFmtId="0" fontId="24" fillId="2" borderId="1" xfId="0" applyFont="1" applyFill="1" applyBorder="1" applyAlignment="1">
      <alignment wrapText="1"/>
    </xf>
    <xf numFmtId="0" fontId="24" fillId="2" borderId="5" xfId="0" applyFont="1" applyFill="1" applyBorder="1" applyAlignment="1">
      <alignment wrapText="1"/>
    </xf>
    <xf numFmtId="0" fontId="24" fillId="2" borderId="8" xfId="0" applyFont="1" applyFill="1" applyBorder="1" applyAlignment="1">
      <alignment wrapText="1"/>
    </xf>
    <xf numFmtId="9" fontId="3" fillId="2" borderId="28" xfId="2" applyFont="1" applyFill="1" applyBorder="1" applyAlignment="1">
      <alignment horizontal="center"/>
    </xf>
    <xf numFmtId="9" fontId="3" fillId="2" borderId="24" xfId="2" applyFont="1" applyFill="1" applyBorder="1" applyAlignment="1">
      <alignment horizontal="center"/>
    </xf>
    <xf numFmtId="0" fontId="2" fillId="0" borderId="0" xfId="1" applyFont="1" applyAlignment="1">
      <alignment wrapText="1"/>
    </xf>
    <xf numFmtId="0" fontId="2" fillId="0" borderId="0" xfId="1" applyFont="1"/>
    <xf numFmtId="0" fontId="31" fillId="0" borderId="0" xfId="1"/>
    <xf numFmtId="9" fontId="2" fillId="0" borderId="0" xfId="1" applyNumberFormat="1" applyFont="1"/>
    <xf numFmtId="0" fontId="33" fillId="8" borderId="0" xfId="1" applyFont="1" applyFill="1"/>
    <xf numFmtId="0" fontId="31" fillId="8" borderId="0" xfId="1" applyFill="1"/>
    <xf numFmtId="0" fontId="36" fillId="0" borderId="0" xfId="0" applyFont="1"/>
    <xf numFmtId="0" fontId="2" fillId="0" borderId="0" xfId="0" applyFont="1"/>
    <xf numFmtId="0" fontId="37" fillId="0" borderId="0" xfId="0" applyFont="1"/>
    <xf numFmtId="0" fontId="1" fillId="2" borderId="13" xfId="0" applyFont="1" applyFill="1" applyBorder="1" applyAlignment="1">
      <alignment horizontal="center" vertical="center"/>
    </xf>
    <xf numFmtId="0" fontId="38" fillId="3" borderId="0" xfId="0" applyFont="1" applyFill="1" applyAlignment="1">
      <alignment horizontal="left" vertical="center"/>
    </xf>
    <xf numFmtId="0" fontId="38" fillId="0" borderId="0" xfId="0" applyFont="1" applyAlignment="1">
      <alignment horizontal="left" vertical="center"/>
    </xf>
    <xf numFmtId="0" fontId="38" fillId="2" borderId="1" xfId="0" applyFont="1" applyFill="1" applyBorder="1" applyAlignment="1">
      <alignment horizontal="left" vertical="center" wrapText="1"/>
    </xf>
    <xf numFmtId="0" fontId="41" fillId="2" borderId="1"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2" xfId="0" applyFont="1" applyFill="1" applyBorder="1" applyAlignment="1">
      <alignment horizontal="left" vertical="center" wrapText="1"/>
    </xf>
    <xf numFmtId="0" fontId="43" fillId="2" borderId="1" xfId="0" applyFont="1" applyFill="1" applyBorder="1" applyAlignment="1">
      <alignment horizontal="left" vertical="center" wrapText="1"/>
    </xf>
    <xf numFmtId="0" fontId="38" fillId="2" borderId="2" xfId="0" applyFont="1" applyFill="1" applyBorder="1" applyAlignment="1">
      <alignment horizontal="left" vertical="center"/>
    </xf>
    <xf numFmtId="0" fontId="44" fillId="2" borderId="1" xfId="0" applyFont="1" applyFill="1" applyBorder="1" applyAlignment="1">
      <alignment horizontal="left" vertical="center"/>
    </xf>
    <xf numFmtId="0" fontId="38" fillId="2" borderId="0" xfId="0" applyFont="1" applyFill="1" applyAlignment="1">
      <alignment horizontal="left" vertical="center"/>
    </xf>
    <xf numFmtId="0" fontId="45" fillId="2" borderId="1" xfId="0" applyFont="1" applyFill="1" applyBorder="1" applyAlignment="1">
      <alignment horizontal="left" vertical="center"/>
    </xf>
    <xf numFmtId="0" fontId="38" fillId="2" borderId="8" xfId="0" applyFont="1" applyFill="1" applyBorder="1" applyAlignment="1">
      <alignment horizontal="left" vertical="center"/>
    </xf>
    <xf numFmtId="0" fontId="38" fillId="2" borderId="9" xfId="0" applyFont="1" applyFill="1" applyBorder="1" applyAlignment="1">
      <alignment horizontal="left" vertical="center"/>
    </xf>
    <xf numFmtId="0" fontId="38" fillId="2" borderId="10" xfId="0" applyFont="1" applyFill="1" applyBorder="1" applyAlignment="1">
      <alignment horizontal="left" vertical="center"/>
    </xf>
    <xf numFmtId="0" fontId="38" fillId="4" borderId="2" xfId="0" applyFont="1" applyFill="1" applyBorder="1" applyAlignment="1">
      <alignment horizontal="left" vertical="center"/>
    </xf>
    <xf numFmtId="0" fontId="38" fillId="2" borderId="1" xfId="0" applyFont="1" applyFill="1" applyBorder="1" applyAlignment="1">
      <alignment horizontal="left" vertical="center"/>
    </xf>
    <xf numFmtId="0" fontId="39" fillId="0" borderId="8" xfId="0" applyFont="1" applyBorder="1" applyAlignment="1" applyProtection="1">
      <alignment horizontal="center" vertical="center"/>
      <protection locked="0"/>
    </xf>
    <xf numFmtId="0" fontId="39" fillId="0" borderId="11" xfId="0" applyFont="1" applyBorder="1" applyAlignment="1" applyProtection="1">
      <alignment horizontal="center" vertical="center"/>
      <protection locked="0"/>
    </xf>
    <xf numFmtId="0" fontId="39" fillId="0" borderId="4" xfId="0" applyFont="1" applyBorder="1" applyAlignment="1" applyProtection="1">
      <alignment horizontal="center" vertical="center"/>
      <protection locked="0"/>
    </xf>
    <xf numFmtId="0" fontId="39" fillId="0" borderId="3" xfId="0" applyFont="1" applyBorder="1" applyAlignment="1" applyProtection="1">
      <alignment horizontal="center" vertical="center"/>
      <protection locked="0"/>
    </xf>
    <xf numFmtId="0" fontId="39" fillId="2" borderId="0" xfId="0" applyFont="1" applyFill="1" applyAlignment="1">
      <alignment horizontal="left" vertical="center"/>
    </xf>
    <xf numFmtId="0" fontId="39" fillId="3" borderId="0" xfId="0" applyFont="1" applyFill="1" applyAlignment="1">
      <alignment horizontal="left" vertical="center"/>
    </xf>
    <xf numFmtId="0" fontId="39" fillId="0" borderId="0" xfId="0" applyFont="1" applyAlignment="1">
      <alignment horizontal="left" vertical="center"/>
    </xf>
    <xf numFmtId="0" fontId="46" fillId="2" borderId="0" xfId="0" applyFont="1" applyFill="1" applyAlignment="1">
      <alignment horizontal="left" vertical="center"/>
    </xf>
    <xf numFmtId="0" fontId="47" fillId="2" borderId="0" xfId="0" applyFont="1" applyFill="1" applyAlignment="1">
      <alignment horizontal="left" vertical="center"/>
    </xf>
    <xf numFmtId="0" fontId="47" fillId="2" borderId="2" xfId="0" applyFont="1" applyFill="1" applyBorder="1" applyAlignment="1">
      <alignment horizontal="left" vertical="center"/>
    </xf>
    <xf numFmtId="0" fontId="46" fillId="3" borderId="0" xfId="0" applyFont="1" applyFill="1" applyAlignment="1">
      <alignment horizontal="left" vertical="center"/>
    </xf>
    <xf numFmtId="0" fontId="46" fillId="0" borderId="0" xfId="0" applyFont="1" applyAlignment="1">
      <alignment horizontal="left" vertical="center"/>
    </xf>
    <xf numFmtId="0" fontId="49" fillId="4" borderId="2" xfId="0" applyFont="1" applyFill="1" applyBorder="1" applyAlignment="1">
      <alignment horizontal="left" vertical="center"/>
    </xf>
    <xf numFmtId="0" fontId="49" fillId="3" borderId="0" xfId="0" applyFont="1" applyFill="1" applyAlignment="1">
      <alignment horizontal="left" vertical="center"/>
    </xf>
    <xf numFmtId="0" fontId="49" fillId="0" borderId="0" xfId="0" applyFont="1" applyAlignment="1">
      <alignment horizontal="left" vertical="center"/>
    </xf>
    <xf numFmtId="0" fontId="42" fillId="0" borderId="0" xfId="0" applyFont="1" applyAlignment="1">
      <alignment horizontal="left" vertical="center"/>
    </xf>
    <xf numFmtId="0" fontId="44" fillId="2" borderId="1" xfId="0" applyFont="1" applyFill="1" applyBorder="1" applyAlignment="1">
      <alignment horizontal="left" vertical="center" wrapText="1"/>
    </xf>
    <xf numFmtId="9" fontId="38" fillId="2" borderId="0" xfId="0" applyNumberFormat="1" applyFont="1" applyFill="1" applyAlignment="1">
      <alignment horizontal="left" vertical="center"/>
    </xf>
    <xf numFmtId="0" fontId="39" fillId="4" borderId="0" xfId="0" applyFont="1" applyFill="1" applyAlignment="1">
      <alignment horizontal="left" vertical="center"/>
    </xf>
    <xf numFmtId="0" fontId="39" fillId="2" borderId="1" xfId="0" applyFont="1" applyFill="1" applyBorder="1" applyAlignment="1">
      <alignment horizontal="left" vertical="center" wrapText="1"/>
    </xf>
    <xf numFmtId="9" fontId="39" fillId="0" borderId="8" xfId="2" applyFont="1" applyFill="1" applyBorder="1" applyAlignment="1" applyProtection="1">
      <alignment horizontal="center" vertical="center"/>
      <protection locked="0"/>
    </xf>
    <xf numFmtId="9" fontId="39" fillId="0" borderId="11" xfId="2" applyFont="1" applyFill="1" applyBorder="1" applyAlignment="1" applyProtection="1">
      <alignment horizontal="center" vertical="center"/>
      <protection locked="0"/>
    </xf>
    <xf numFmtId="9" fontId="39" fillId="0" borderId="4" xfId="2" applyFont="1" applyFill="1" applyBorder="1" applyAlignment="1" applyProtection="1">
      <alignment horizontal="center" vertical="center"/>
      <protection locked="0"/>
    </xf>
    <xf numFmtId="9" fontId="39" fillId="0" borderId="3" xfId="2" applyFont="1" applyFill="1" applyBorder="1" applyAlignment="1" applyProtection="1">
      <alignment horizontal="center" vertical="center"/>
      <protection locked="0"/>
    </xf>
    <xf numFmtId="0" fontId="39" fillId="4" borderId="6" xfId="0" applyFont="1" applyFill="1" applyBorder="1" applyAlignment="1">
      <alignment horizontal="left" vertical="center"/>
    </xf>
    <xf numFmtId="0" fontId="38" fillId="4" borderId="7" xfId="0" applyFont="1" applyFill="1" applyBorder="1" applyAlignment="1">
      <alignment horizontal="left" vertical="center"/>
    </xf>
    <xf numFmtId="0" fontId="50" fillId="3" borderId="0" xfId="0" applyFont="1" applyFill="1" applyAlignment="1">
      <alignment horizontal="left" vertical="center"/>
    </xf>
    <xf numFmtId="0" fontId="49" fillId="0" borderId="0" xfId="0" applyFont="1" applyAlignment="1">
      <alignment horizontal="left" vertical="center" wrapText="1"/>
    </xf>
    <xf numFmtId="0" fontId="39" fillId="5" borderId="8" xfId="0" applyFont="1" applyFill="1" applyBorder="1" applyAlignment="1" applyProtection="1">
      <alignment horizontal="center" vertical="center"/>
      <protection locked="0"/>
    </xf>
    <xf numFmtId="0" fontId="39" fillId="5" borderId="55" xfId="0" applyFont="1" applyFill="1" applyBorder="1" applyAlignment="1" applyProtection="1">
      <alignment horizontal="center" vertical="center"/>
      <protection locked="0"/>
    </xf>
    <xf numFmtId="0" fontId="39" fillId="5" borderId="52" xfId="0" applyFont="1" applyFill="1" applyBorder="1" applyAlignment="1" applyProtection="1">
      <alignment horizontal="center" vertical="center"/>
      <protection locked="0"/>
    </xf>
    <xf numFmtId="0" fontId="39" fillId="5" borderId="59" xfId="0" applyFont="1" applyFill="1" applyBorder="1" applyAlignment="1" applyProtection="1">
      <alignment horizontal="center" vertical="center"/>
      <protection locked="0"/>
    </xf>
    <xf numFmtId="0" fontId="39" fillId="5" borderId="21" xfId="0" applyFont="1" applyFill="1" applyBorder="1" applyAlignment="1" applyProtection="1">
      <alignment horizontal="center" vertical="center"/>
      <protection locked="0"/>
    </xf>
    <xf numFmtId="0" fontId="39" fillId="5" borderId="30" xfId="0" applyFont="1" applyFill="1" applyBorder="1" applyAlignment="1" applyProtection="1">
      <alignment horizontal="center" vertical="center"/>
      <protection locked="0"/>
    </xf>
    <xf numFmtId="0" fontId="39" fillId="5" borderId="60" xfId="0" applyFont="1" applyFill="1" applyBorder="1" applyAlignment="1" applyProtection="1">
      <alignment horizontal="center" vertical="center"/>
      <protection locked="0"/>
    </xf>
    <xf numFmtId="0" fontId="39" fillId="5" borderId="40" xfId="0" applyFont="1" applyFill="1" applyBorder="1" applyAlignment="1" applyProtection="1">
      <alignment horizontal="center" vertical="center"/>
      <protection locked="0"/>
    </xf>
    <xf numFmtId="0" fontId="39" fillId="5" borderId="61" xfId="0" applyFont="1" applyFill="1" applyBorder="1" applyAlignment="1" applyProtection="1">
      <alignment horizontal="center" vertical="center"/>
      <protection locked="0"/>
    </xf>
    <xf numFmtId="0" fontId="39" fillId="5" borderId="22" xfId="0" applyFont="1" applyFill="1" applyBorder="1" applyAlignment="1" applyProtection="1">
      <alignment horizontal="center" vertical="center"/>
      <protection locked="0"/>
    </xf>
    <xf numFmtId="0" fontId="39" fillId="5" borderId="53" xfId="0" applyFont="1" applyFill="1" applyBorder="1" applyAlignment="1" applyProtection="1">
      <alignment horizontal="center" vertical="center"/>
      <protection locked="0"/>
    </xf>
    <xf numFmtId="0" fontId="39" fillId="5" borderId="62" xfId="0" applyFont="1" applyFill="1" applyBorder="1" applyAlignment="1" applyProtection="1">
      <alignment horizontal="center" vertical="center"/>
      <protection locked="0"/>
    </xf>
    <xf numFmtId="0" fontId="39" fillId="5" borderId="63" xfId="0" applyFont="1" applyFill="1" applyBorder="1" applyAlignment="1" applyProtection="1">
      <alignment horizontal="center" vertical="center"/>
      <protection locked="0"/>
    </xf>
    <xf numFmtId="0" fontId="39" fillId="5" borderId="46" xfId="0" applyFont="1" applyFill="1" applyBorder="1" applyAlignment="1" applyProtection="1">
      <alignment horizontal="center" vertical="center"/>
      <protection locked="0"/>
    </xf>
    <xf numFmtId="0" fontId="39" fillId="5" borderId="64" xfId="0" applyFont="1" applyFill="1" applyBorder="1" applyAlignment="1" applyProtection="1">
      <alignment horizontal="center" vertical="center"/>
      <protection locked="0"/>
    </xf>
    <xf numFmtId="0" fontId="39" fillId="5" borderId="65" xfId="0" applyFont="1" applyFill="1" applyBorder="1" applyAlignment="1" applyProtection="1">
      <alignment horizontal="center" vertical="center"/>
      <protection locked="0"/>
    </xf>
    <xf numFmtId="49" fontId="39" fillId="0" borderId="3" xfId="0" applyNumberFormat="1" applyFont="1" applyBorder="1" applyAlignment="1" applyProtection="1">
      <alignment vertical="center"/>
      <protection locked="0"/>
    </xf>
    <xf numFmtId="0" fontId="39" fillId="5" borderId="11" xfId="0" applyFont="1" applyFill="1" applyBorder="1" applyAlignment="1" applyProtection="1">
      <alignment horizontal="center" vertical="center"/>
      <protection locked="0"/>
    </xf>
    <xf numFmtId="0" fontId="38" fillId="3" borderId="1" xfId="0" applyFont="1" applyFill="1" applyBorder="1" applyAlignment="1">
      <alignment horizontal="left" vertical="center"/>
    </xf>
    <xf numFmtId="0" fontId="39" fillId="6" borderId="8" xfId="0" applyFont="1" applyFill="1" applyBorder="1" applyAlignment="1">
      <alignment horizontal="center" vertical="center"/>
    </xf>
    <xf numFmtId="0" fontId="39" fillId="6" borderId="11" xfId="0" applyFont="1" applyFill="1" applyBorder="1" applyAlignment="1">
      <alignment horizontal="center" vertical="center"/>
    </xf>
    <xf numFmtId="0" fontId="39" fillId="6" borderId="4" xfId="0" applyFont="1" applyFill="1" applyBorder="1" applyAlignment="1">
      <alignment horizontal="center" vertical="center"/>
    </xf>
    <xf numFmtId="0" fontId="39" fillId="6" borderId="3" xfId="0" applyFont="1" applyFill="1" applyBorder="1" applyAlignment="1">
      <alignment horizontal="center" vertical="center"/>
    </xf>
    <xf numFmtId="0" fontId="38" fillId="2" borderId="0" xfId="0" applyFont="1" applyFill="1" applyAlignment="1">
      <alignment horizontal="center" vertical="center"/>
    </xf>
    <xf numFmtId="0" fontId="38" fillId="2" borderId="55" xfId="0" applyFont="1" applyFill="1" applyBorder="1" applyAlignment="1">
      <alignment horizontal="center" vertical="center"/>
    </xf>
    <xf numFmtId="0" fontId="38" fillId="2" borderId="57" xfId="0" applyFont="1" applyFill="1" applyBorder="1" applyAlignment="1">
      <alignment horizontal="center" vertical="center"/>
    </xf>
    <xf numFmtId="0" fontId="38" fillId="2" borderId="62" xfId="0" applyFont="1" applyFill="1" applyBorder="1" applyAlignment="1">
      <alignment horizontal="center" vertical="center"/>
    </xf>
    <xf numFmtId="0" fontId="38" fillId="2" borderId="66" xfId="0" applyFont="1" applyFill="1" applyBorder="1" applyAlignment="1">
      <alignment horizontal="center" vertical="center"/>
    </xf>
    <xf numFmtId="0" fontId="38" fillId="2" borderId="56" xfId="0" applyFont="1" applyFill="1" applyBorder="1" applyAlignment="1">
      <alignment horizontal="center" vertical="center"/>
    </xf>
    <xf numFmtId="0" fontId="49" fillId="2" borderId="1" xfId="0" applyFont="1" applyFill="1" applyBorder="1" applyAlignment="1">
      <alignment horizontal="left" vertical="center" wrapText="1"/>
    </xf>
    <xf numFmtId="0" fontId="47" fillId="2" borderId="1" xfId="0" applyFont="1" applyFill="1" applyBorder="1" applyAlignment="1">
      <alignment horizontal="left" vertical="center" wrapText="1"/>
    </xf>
    <xf numFmtId="0" fontId="47" fillId="2" borderId="29" xfId="0" applyFont="1" applyFill="1" applyBorder="1" applyAlignment="1">
      <alignment horizontal="left" vertical="center" wrapText="1"/>
    </xf>
    <xf numFmtId="0" fontId="49" fillId="3" borderId="0" xfId="0" applyFont="1" applyFill="1" applyAlignment="1">
      <alignment horizontal="center" vertical="center"/>
    </xf>
    <xf numFmtId="0" fontId="47" fillId="2" borderId="1" xfId="0" applyFont="1" applyFill="1" applyBorder="1" applyAlignment="1">
      <alignment horizontal="center" vertical="center" wrapText="1"/>
    </xf>
    <xf numFmtId="0" fontId="38" fillId="2" borderId="10" xfId="0" applyFont="1" applyFill="1" applyBorder="1" applyAlignment="1">
      <alignment horizontal="center" vertical="center"/>
    </xf>
    <xf numFmtId="0" fontId="49" fillId="2" borderId="10" xfId="0" applyFont="1" applyFill="1" applyBorder="1" applyAlignment="1">
      <alignment horizontal="center" vertical="center"/>
    </xf>
    <xf numFmtId="0" fontId="49" fillId="2" borderId="67" xfId="0" applyFont="1" applyFill="1" applyBorder="1" applyAlignment="1">
      <alignment horizontal="center" vertical="center"/>
    </xf>
    <xf numFmtId="0" fontId="49" fillId="2" borderId="68" xfId="0" applyFont="1" applyFill="1" applyBorder="1" applyAlignment="1">
      <alignment horizontal="center" vertical="center"/>
    </xf>
    <xf numFmtId="0" fontId="38" fillId="2" borderId="67" xfId="0" applyFont="1" applyFill="1" applyBorder="1" applyAlignment="1">
      <alignment horizontal="center" vertical="center"/>
    </xf>
    <xf numFmtId="0" fontId="38" fillId="2" borderId="68" xfId="0" applyFont="1" applyFill="1" applyBorder="1" applyAlignment="1">
      <alignment horizontal="center" vertical="center"/>
    </xf>
    <xf numFmtId="0" fontId="42" fillId="2" borderId="1" xfId="0" applyFont="1" applyFill="1" applyBorder="1" applyAlignment="1">
      <alignment horizontal="left" vertical="center"/>
    </xf>
    <xf numFmtId="0" fontId="52" fillId="2" borderId="1" xfId="0" applyFont="1" applyFill="1" applyBorder="1" applyAlignment="1">
      <alignment horizontal="center" vertical="center"/>
    </xf>
    <xf numFmtId="0" fontId="40" fillId="2" borderId="5" xfId="0" applyFont="1" applyFill="1" applyBorder="1" applyAlignment="1">
      <alignment horizontal="center" vertical="center" wrapText="1"/>
    </xf>
    <xf numFmtId="0" fontId="40" fillId="2" borderId="1" xfId="0" applyFont="1" applyFill="1" applyBorder="1" applyAlignment="1">
      <alignment horizontal="center" vertical="center"/>
    </xf>
    <xf numFmtId="0" fontId="39" fillId="5" borderId="69" xfId="0" applyFont="1" applyFill="1" applyBorder="1" applyAlignment="1" applyProtection="1">
      <alignment horizontal="center" vertical="center"/>
      <protection locked="0"/>
    </xf>
    <xf numFmtId="0" fontId="39" fillId="5" borderId="70" xfId="0" applyFont="1" applyFill="1" applyBorder="1" applyAlignment="1" applyProtection="1">
      <alignment horizontal="center" vertical="center"/>
      <protection locked="0"/>
    </xf>
    <xf numFmtId="0" fontId="1" fillId="2" borderId="4" xfId="0" applyFont="1" applyFill="1" applyBorder="1" applyAlignment="1">
      <alignment horizontal="center" vertical="center"/>
    </xf>
    <xf numFmtId="0" fontId="1" fillId="2" borderId="14" xfId="0" applyFont="1" applyFill="1" applyBorder="1" applyAlignment="1">
      <alignment horizontal="center" vertical="center"/>
    </xf>
    <xf numFmtId="0" fontId="54" fillId="2" borderId="0" xfId="0" applyFont="1" applyFill="1" applyAlignment="1">
      <alignment vertical="center" wrapText="1"/>
    </xf>
    <xf numFmtId="0" fontId="38" fillId="2" borderId="2" xfId="0" applyFont="1" applyFill="1" applyBorder="1" applyAlignment="1">
      <alignment horizontal="center" vertical="center"/>
    </xf>
    <xf numFmtId="0" fontId="38" fillId="2" borderId="71" xfId="0" applyFont="1" applyFill="1" applyBorder="1" applyAlignment="1">
      <alignment horizontal="center" vertical="center"/>
    </xf>
    <xf numFmtId="0" fontId="38" fillId="2" borderId="74" xfId="0" applyFont="1" applyFill="1" applyBorder="1" applyAlignment="1">
      <alignment horizontal="center" vertical="center"/>
    </xf>
    <xf numFmtId="0" fontId="38" fillId="2" borderId="72" xfId="0" applyFont="1" applyFill="1" applyBorder="1" applyAlignment="1">
      <alignment horizontal="center" vertical="center"/>
    </xf>
    <xf numFmtId="0" fontId="38" fillId="2" borderId="75" xfId="0" applyFont="1" applyFill="1" applyBorder="1" applyAlignment="1">
      <alignment horizontal="center" vertical="center"/>
    </xf>
    <xf numFmtId="0" fontId="38" fillId="2" borderId="16" xfId="0" applyFont="1" applyFill="1" applyBorder="1" applyAlignment="1">
      <alignment horizontal="center" vertical="center"/>
    </xf>
    <xf numFmtId="0" fontId="38" fillId="2" borderId="18" xfId="0" applyFont="1" applyFill="1" applyBorder="1" applyAlignment="1">
      <alignment horizontal="center" vertical="center"/>
    </xf>
    <xf numFmtId="0" fontId="47" fillId="2" borderId="8" xfId="0" applyFont="1" applyFill="1" applyBorder="1" applyAlignment="1">
      <alignment horizontal="left" vertical="center" wrapText="1"/>
    </xf>
    <xf numFmtId="0" fontId="49" fillId="2" borderId="1" xfId="0" applyFont="1" applyFill="1" applyBorder="1" applyAlignment="1">
      <alignment horizontal="left" vertical="center"/>
    </xf>
    <xf numFmtId="0" fontId="49" fillId="2" borderId="76" xfId="0" applyFont="1" applyFill="1" applyBorder="1" applyAlignment="1">
      <alignment horizontal="left" vertical="center"/>
    </xf>
    <xf numFmtId="0" fontId="24" fillId="2" borderId="8" xfId="0" applyFont="1" applyFill="1" applyBorder="1"/>
    <xf numFmtId="0" fontId="24" fillId="2" borderId="1" xfId="0" applyFont="1" applyFill="1" applyBorder="1"/>
    <xf numFmtId="0" fontId="24" fillId="2" borderId="5" xfId="0" applyFont="1" applyFill="1" applyBorder="1"/>
    <xf numFmtId="0" fontId="49" fillId="2" borderId="0" xfId="0" applyFont="1" applyFill="1" applyAlignment="1">
      <alignment vertical="center" wrapText="1"/>
    </xf>
    <xf numFmtId="0" fontId="2" fillId="5" borderId="0" xfId="1" applyFont="1" applyFill="1"/>
    <xf numFmtId="0" fontId="1" fillId="2" borderId="1" xfId="0" applyFont="1" applyFill="1" applyBorder="1" applyAlignment="1">
      <alignment wrapText="1"/>
    </xf>
    <xf numFmtId="0" fontId="1" fillId="2" borderId="45" xfId="0" applyFont="1" applyFill="1" applyBorder="1" applyAlignment="1">
      <alignment horizontal="left" vertical="center"/>
    </xf>
    <xf numFmtId="0" fontId="1" fillId="2" borderId="77" xfId="0" applyFont="1" applyFill="1" applyBorder="1" applyAlignment="1">
      <alignment horizontal="left" vertical="center"/>
    </xf>
    <xf numFmtId="0" fontId="1" fillId="2" borderId="78" xfId="0" applyFont="1" applyFill="1" applyBorder="1" applyAlignment="1">
      <alignment horizontal="left" vertical="center"/>
    </xf>
    <xf numFmtId="0" fontId="49" fillId="2" borderId="5" xfId="0" applyFont="1" applyFill="1" applyBorder="1" applyAlignment="1">
      <alignment horizontal="left" vertical="center"/>
    </xf>
    <xf numFmtId="0" fontId="49" fillId="2" borderId="4" xfId="0" applyFont="1" applyFill="1" applyBorder="1" applyAlignment="1">
      <alignment horizontal="left" vertical="center"/>
    </xf>
    <xf numFmtId="0" fontId="42" fillId="4" borderId="0" xfId="0" applyFont="1" applyFill="1" applyAlignment="1">
      <alignment horizontal="left" vertical="center"/>
    </xf>
    <xf numFmtId="0" fontId="38" fillId="2" borderId="5" xfId="0" applyFont="1" applyFill="1" applyBorder="1" applyAlignment="1">
      <alignment horizontal="left" vertical="center"/>
    </xf>
    <xf numFmtId="0" fontId="38" fillId="7" borderId="30" xfId="0" applyFont="1" applyFill="1" applyBorder="1" applyAlignment="1">
      <alignment horizontal="center" vertical="center"/>
    </xf>
    <xf numFmtId="0" fontId="38" fillId="7" borderId="55" xfId="0" applyFont="1" applyFill="1" applyBorder="1" applyAlignment="1">
      <alignment horizontal="center" vertical="center"/>
    </xf>
    <xf numFmtId="0" fontId="38" fillId="7" borderId="60" xfId="0" applyFont="1" applyFill="1" applyBorder="1" applyAlignment="1">
      <alignment horizontal="center" vertical="center"/>
    </xf>
    <xf numFmtId="0" fontId="38" fillId="4" borderId="0" xfId="0" applyFont="1" applyFill="1" applyAlignment="1">
      <alignment horizontal="center" vertical="center"/>
    </xf>
    <xf numFmtId="0" fontId="39" fillId="7" borderId="52" xfId="0" applyFont="1" applyFill="1" applyBorder="1" applyAlignment="1">
      <alignment horizontal="center" vertical="center"/>
    </xf>
    <xf numFmtId="0" fontId="39" fillId="7" borderId="59" xfId="0" applyFont="1" applyFill="1" applyBorder="1" applyAlignment="1">
      <alignment horizontal="center" vertical="center"/>
    </xf>
    <xf numFmtId="0" fontId="39" fillId="7" borderId="21" xfId="0" applyFont="1" applyFill="1" applyBorder="1" applyAlignment="1">
      <alignment horizontal="center" vertical="center"/>
    </xf>
    <xf numFmtId="0" fontId="39" fillId="7" borderId="30" xfId="0" applyFont="1" applyFill="1" applyBorder="1" applyAlignment="1">
      <alignment horizontal="center" vertical="center"/>
    </xf>
    <xf numFmtId="0" fontId="39" fillId="7" borderId="55" xfId="0" applyFont="1" applyFill="1" applyBorder="1" applyAlignment="1">
      <alignment horizontal="center" vertical="center"/>
    </xf>
    <xf numFmtId="0" fontId="39" fillId="7" borderId="60" xfId="0" applyFont="1" applyFill="1" applyBorder="1" applyAlignment="1">
      <alignment horizontal="center" vertical="center"/>
    </xf>
    <xf numFmtId="0" fontId="39" fillId="7" borderId="40" xfId="0" applyFont="1" applyFill="1" applyBorder="1" applyAlignment="1">
      <alignment horizontal="center" vertical="center"/>
    </xf>
    <xf numFmtId="0" fontId="39" fillId="7" borderId="61" xfId="0" applyFont="1" applyFill="1" applyBorder="1" applyAlignment="1">
      <alignment horizontal="center" vertical="center"/>
    </xf>
    <xf numFmtId="0" fontId="39" fillId="7" borderId="22" xfId="0" applyFont="1" applyFill="1" applyBorder="1" applyAlignment="1">
      <alignment horizontal="center" vertical="center"/>
    </xf>
    <xf numFmtId="0" fontId="38" fillId="2" borderId="6" xfId="0" applyFont="1" applyFill="1" applyBorder="1" applyAlignment="1">
      <alignment horizontal="center" vertical="center"/>
    </xf>
    <xf numFmtId="0" fontId="38" fillId="2" borderId="7" xfId="0" applyFont="1" applyFill="1" applyBorder="1" applyAlignment="1">
      <alignment horizontal="center" vertical="center"/>
    </xf>
    <xf numFmtId="0" fontId="38" fillId="2" borderId="73" xfId="0" applyFont="1" applyFill="1" applyBorder="1" applyAlignment="1">
      <alignment horizontal="left" vertical="center"/>
    </xf>
    <xf numFmtId="0" fontId="39" fillId="4" borderId="1" xfId="0" applyFont="1" applyFill="1" applyBorder="1" applyAlignment="1">
      <alignment horizontal="left" vertical="center"/>
    </xf>
    <xf numFmtId="0" fontId="38" fillId="2" borderId="79" xfId="0" applyFont="1" applyFill="1" applyBorder="1" applyAlignment="1">
      <alignment horizontal="left" vertical="center"/>
    </xf>
    <xf numFmtId="0" fontId="8" fillId="3" borderId="0" xfId="0" applyFont="1" applyFill="1" applyAlignment="1">
      <alignment horizontal="center" wrapText="1"/>
    </xf>
    <xf numFmtId="0" fontId="24" fillId="5" borderId="0" xfId="0" applyFont="1" applyFill="1"/>
    <xf numFmtId="0" fontId="3" fillId="5" borderId="0" xfId="0" applyFont="1" applyFill="1" applyAlignment="1">
      <alignment horizontal="center"/>
    </xf>
    <xf numFmtId="0" fontId="4" fillId="2" borderId="24" xfId="0" applyFont="1" applyFill="1" applyBorder="1"/>
    <xf numFmtId="0" fontId="4" fillId="2" borderId="28" xfId="0" applyFont="1" applyFill="1" applyBorder="1" applyAlignment="1">
      <alignment horizontal="center"/>
    </xf>
    <xf numFmtId="0" fontId="57" fillId="3" borderId="55" xfId="0" applyFont="1" applyFill="1" applyBorder="1" applyAlignment="1">
      <alignment horizontal="left" vertical="center" wrapText="1"/>
    </xf>
    <xf numFmtId="49" fontId="3" fillId="3" borderId="55" xfId="0" applyNumberFormat="1" applyFont="1" applyFill="1" applyBorder="1" applyAlignment="1">
      <alignment horizontal="center"/>
    </xf>
    <xf numFmtId="0" fontId="38" fillId="5" borderId="3" xfId="0" applyFont="1" applyFill="1" applyBorder="1" applyAlignment="1" applyProtection="1">
      <alignment horizontal="center" vertical="center"/>
      <protection locked="0"/>
    </xf>
    <xf numFmtId="0" fontId="50" fillId="3" borderId="0" xfId="0" applyFont="1" applyFill="1" applyAlignment="1">
      <alignment horizontal="left" vertical="center" wrapText="1"/>
    </xf>
    <xf numFmtId="0" fontId="49" fillId="0" borderId="0" xfId="0" applyFont="1" applyAlignment="1">
      <alignment horizontal="left" vertical="center" wrapText="1"/>
    </xf>
    <xf numFmtId="0" fontId="38" fillId="5" borderId="9" xfId="0" applyFont="1" applyFill="1" applyBorder="1" applyAlignment="1">
      <alignment horizontal="left" vertical="center" wrapText="1"/>
    </xf>
    <xf numFmtId="0" fontId="38" fillId="5" borderId="0" xfId="0" applyFont="1" applyFill="1" applyAlignment="1">
      <alignment horizontal="left" vertical="center" wrapText="1"/>
    </xf>
    <xf numFmtId="0" fontId="39" fillId="3" borderId="4" xfId="0" applyFont="1" applyFill="1" applyBorder="1" applyAlignment="1" applyProtection="1">
      <alignment horizontal="center" vertical="center"/>
      <protection locked="0"/>
    </xf>
    <xf numFmtId="0" fontId="39" fillId="3" borderId="13" xfId="0" applyFont="1" applyFill="1" applyBorder="1" applyAlignment="1" applyProtection="1">
      <alignment horizontal="center" vertical="center"/>
      <protection locked="0"/>
    </xf>
    <xf numFmtId="0" fontId="39" fillId="3" borderId="58" xfId="0" applyFont="1" applyFill="1" applyBorder="1" applyAlignment="1" applyProtection="1">
      <alignment horizontal="center" vertical="center"/>
      <protection locked="0"/>
    </xf>
    <xf numFmtId="0" fontId="39" fillId="3" borderId="14" xfId="0" applyFont="1" applyFill="1" applyBorder="1" applyAlignment="1" applyProtection="1">
      <alignment horizontal="center" vertical="center"/>
      <protection locked="0"/>
    </xf>
    <xf numFmtId="0" fontId="45" fillId="2" borderId="4" xfId="0" applyFont="1" applyFill="1" applyBorder="1" applyAlignment="1">
      <alignment horizontal="left" vertical="center" wrapText="1"/>
    </xf>
    <xf numFmtId="0" fontId="45" fillId="2" borderId="13" xfId="0" applyFont="1" applyFill="1" applyBorder="1" applyAlignment="1">
      <alignment horizontal="left" vertical="center" wrapText="1"/>
    </xf>
    <xf numFmtId="0" fontId="45" fillId="2" borderId="14" xfId="0" applyFont="1" applyFill="1" applyBorder="1" applyAlignment="1">
      <alignment horizontal="left" vertical="center" wrapText="1"/>
    </xf>
    <xf numFmtId="0" fontId="47" fillId="2" borderId="1" xfId="0" applyFont="1" applyFill="1" applyBorder="1" applyAlignment="1">
      <alignment horizontal="left" vertical="center" wrapText="1"/>
    </xf>
    <xf numFmtId="0" fontId="47" fillId="2" borderId="0" xfId="0" applyFont="1" applyFill="1" applyAlignment="1">
      <alignment horizontal="left" vertical="center" wrapText="1"/>
    </xf>
    <xf numFmtId="0" fontId="39" fillId="0" borderId="4" xfId="0" applyFont="1" applyBorder="1" applyAlignment="1" applyProtection="1">
      <alignment horizontal="left" vertical="center"/>
      <protection locked="0"/>
    </xf>
    <xf numFmtId="0" fontId="39" fillId="0" borderId="13" xfId="0" applyFont="1" applyBorder="1" applyAlignment="1" applyProtection="1">
      <alignment horizontal="left" vertical="center"/>
      <protection locked="0"/>
    </xf>
    <xf numFmtId="0" fontId="39" fillId="0" borderId="14" xfId="0" applyFont="1" applyBorder="1" applyAlignment="1" applyProtection="1">
      <alignment horizontal="left" vertical="center"/>
      <protection locked="0"/>
    </xf>
    <xf numFmtId="0" fontId="49" fillId="2" borderId="8" xfId="0" applyFont="1" applyFill="1" applyBorder="1" applyAlignment="1">
      <alignment horizontal="left" vertical="center" wrapText="1"/>
    </xf>
    <xf numFmtId="0" fontId="49" fillId="2" borderId="9" xfId="0" applyFont="1" applyFill="1" applyBorder="1" applyAlignment="1">
      <alignment horizontal="left" vertical="center" wrapText="1"/>
    </xf>
    <xf numFmtId="0" fontId="39" fillId="0" borderId="9" xfId="0" applyFont="1" applyBorder="1" applyAlignment="1" applyProtection="1">
      <alignment horizontal="center" vertical="center"/>
      <protection locked="0"/>
    </xf>
    <xf numFmtId="0" fontId="39" fillId="0" borderId="10" xfId="0" applyFont="1" applyBorder="1" applyAlignment="1" applyProtection="1">
      <alignment horizontal="center" vertical="center"/>
      <protection locked="0"/>
    </xf>
    <xf numFmtId="20" fontId="39" fillId="0" borderId="0" xfId="0" applyNumberFormat="1" applyFont="1" applyAlignment="1" applyProtection="1">
      <alignment horizontal="center" vertical="center"/>
      <protection locked="0"/>
    </xf>
    <xf numFmtId="0" fontId="39" fillId="0" borderId="0" xfId="0" applyFont="1" applyAlignment="1" applyProtection="1">
      <alignment horizontal="center" vertical="center"/>
      <protection locked="0"/>
    </xf>
    <xf numFmtId="0" fontId="39" fillId="0" borderId="2" xfId="0" applyFont="1" applyBorder="1" applyAlignment="1" applyProtection="1">
      <alignment horizontal="center" vertical="center"/>
      <protection locked="0"/>
    </xf>
    <xf numFmtId="49" fontId="39" fillId="0" borderId="0" xfId="0" applyNumberFormat="1" applyFont="1" applyAlignment="1" applyProtection="1">
      <alignment horizontal="center" vertical="center"/>
      <protection locked="0"/>
    </xf>
    <xf numFmtId="176" fontId="39" fillId="0" borderId="0" xfId="0" applyNumberFormat="1" applyFont="1" applyAlignment="1" applyProtection="1">
      <alignment horizontal="center" vertical="center"/>
      <protection locked="0"/>
    </xf>
    <xf numFmtId="0" fontId="47" fillId="2" borderId="9" xfId="0" applyFont="1" applyFill="1" applyBorder="1" applyAlignment="1">
      <alignment horizontal="left" vertical="center" wrapText="1"/>
    </xf>
    <xf numFmtId="0" fontId="47" fillId="2" borderId="9" xfId="0" applyFont="1" applyFill="1" applyBorder="1" applyAlignment="1">
      <alignment horizontal="left" vertical="center"/>
    </xf>
    <xf numFmtId="0" fontId="47" fillId="2" borderId="0" xfId="0" applyFont="1" applyFill="1" applyAlignment="1">
      <alignment horizontal="left" vertical="center"/>
    </xf>
    <xf numFmtId="0" fontId="53" fillId="2" borderId="4" xfId="0" applyFont="1" applyFill="1" applyBorder="1" applyAlignment="1">
      <alignment horizontal="center" vertical="center"/>
    </xf>
    <xf numFmtId="0" fontId="53" fillId="2" borderId="13" xfId="0" applyFont="1" applyFill="1" applyBorder="1" applyAlignment="1">
      <alignment horizontal="center" vertical="center"/>
    </xf>
    <xf numFmtId="0" fontId="53" fillId="2" borderId="14" xfId="0" applyFont="1" applyFill="1" applyBorder="1" applyAlignment="1">
      <alignment horizontal="center" vertical="center"/>
    </xf>
    <xf numFmtId="0" fontId="51" fillId="2" borderId="1" xfId="0" applyFont="1" applyFill="1" applyBorder="1" applyAlignment="1">
      <alignment horizontal="center" vertical="center" wrapText="1"/>
    </xf>
    <xf numFmtId="0" fontId="51" fillId="2" borderId="0" xfId="0" applyFont="1" applyFill="1" applyAlignment="1">
      <alignment horizontal="center" vertical="center" wrapText="1"/>
    </xf>
    <xf numFmtId="0" fontId="38" fillId="2" borderId="1" xfId="0" applyFont="1" applyFill="1" applyBorder="1" applyAlignment="1">
      <alignment horizontal="left" vertical="center" wrapText="1"/>
    </xf>
    <xf numFmtId="0" fontId="38" fillId="2" borderId="0" xfId="0" applyFont="1" applyFill="1" applyAlignment="1">
      <alignment horizontal="left" vertical="center" wrapText="1"/>
    </xf>
    <xf numFmtId="0" fontId="8" fillId="3" borderId="8" xfId="0" applyFont="1" applyFill="1" applyBorder="1" applyAlignment="1">
      <alignment horizontal="center" wrapText="1"/>
    </xf>
    <xf numFmtId="0" fontId="8" fillId="3" borderId="9" xfId="0" applyFont="1" applyFill="1" applyBorder="1" applyAlignment="1">
      <alignment horizontal="center" wrapText="1"/>
    </xf>
    <xf numFmtId="0" fontId="8" fillId="3" borderId="10" xfId="0" applyFont="1" applyFill="1" applyBorder="1" applyAlignment="1">
      <alignment horizontal="center" wrapText="1"/>
    </xf>
    <xf numFmtId="0" fontId="8" fillId="3" borderId="1" xfId="0" applyFont="1" applyFill="1" applyBorder="1" applyAlignment="1">
      <alignment horizontal="center" wrapText="1"/>
    </xf>
    <xf numFmtId="0" fontId="8" fillId="0" borderId="0" xfId="0" applyFont="1" applyAlignment="1">
      <alignment horizontal="center" wrapText="1"/>
    </xf>
    <xf numFmtId="0" fontId="8" fillId="0" borderId="2" xfId="0" applyFont="1" applyBorder="1" applyAlignment="1">
      <alignment horizontal="center" wrapText="1"/>
    </xf>
    <xf numFmtId="0" fontId="8" fillId="3" borderId="8" xfId="0" applyFont="1" applyFill="1" applyBorder="1" applyAlignment="1">
      <alignment horizontal="center"/>
    </xf>
    <xf numFmtId="0" fontId="8" fillId="3" borderId="9" xfId="0" applyFont="1" applyFill="1" applyBorder="1" applyAlignment="1">
      <alignment horizontal="center"/>
    </xf>
    <xf numFmtId="0" fontId="8" fillId="3" borderId="10" xfId="0" applyFont="1" applyFill="1" applyBorder="1" applyAlignment="1">
      <alignment horizontal="center"/>
    </xf>
    <xf numFmtId="0" fontId="6" fillId="3" borderId="8" xfId="0" applyFont="1" applyFill="1" applyBorder="1" applyAlignment="1">
      <alignment wrapText="1"/>
    </xf>
    <xf numFmtId="0" fontId="0" fillId="0" borderId="9" xfId="0" applyBorder="1" applyAlignment="1">
      <alignment wrapText="1"/>
    </xf>
    <xf numFmtId="0" fontId="0" fillId="0" borderId="10" xfId="0" applyBorder="1" applyAlignment="1">
      <alignment wrapText="1"/>
    </xf>
    <xf numFmtId="0" fontId="5" fillId="3" borderId="0" xfId="0" applyFont="1" applyFill="1" applyAlignment="1">
      <alignment wrapText="1"/>
    </xf>
    <xf numFmtId="0" fontId="4" fillId="0" borderId="0" xfId="0" applyFont="1" applyAlignment="1">
      <alignment wrapText="1"/>
    </xf>
    <xf numFmtId="0" fontId="6" fillId="3" borderId="0" xfId="0" applyFont="1" applyFill="1" applyAlignment="1">
      <alignment wrapText="1"/>
    </xf>
    <xf numFmtId="0" fontId="6" fillId="0" borderId="0" xfId="0" applyFont="1" applyAlignment="1">
      <alignment wrapText="1"/>
    </xf>
    <xf numFmtId="0" fontId="8" fillId="3" borderId="0" xfId="0" applyFont="1" applyFill="1" applyAlignment="1">
      <alignment horizontal="center" vertical="center"/>
    </xf>
    <xf numFmtId="0" fontId="16" fillId="0" borderId="0" xfId="0" applyFont="1" applyAlignment="1">
      <alignment horizontal="center" vertical="center"/>
    </xf>
    <xf numFmtId="0" fontId="6" fillId="3" borderId="5" xfId="0" applyFont="1" applyFill="1" applyBorder="1" applyAlignment="1">
      <alignment wrapText="1"/>
    </xf>
    <xf numFmtId="0" fontId="0" fillId="0" borderId="6" xfId="0" applyBorder="1" applyAlignment="1">
      <alignment wrapText="1"/>
    </xf>
    <xf numFmtId="0" fontId="0" fillId="0" borderId="7" xfId="0" applyBorder="1" applyAlignment="1">
      <alignment wrapText="1"/>
    </xf>
    <xf numFmtId="0" fontId="8" fillId="3" borderId="0" xfId="0" applyFont="1" applyFill="1" applyAlignment="1">
      <alignment horizontal="center"/>
    </xf>
    <xf numFmtId="0" fontId="9" fillId="3" borderId="0" xfId="0" applyFont="1" applyFill="1" applyAlignment="1">
      <alignment horizontal="center"/>
    </xf>
    <xf numFmtId="0" fontId="8" fillId="3" borderId="1" xfId="0" applyFont="1" applyFill="1" applyBorder="1" applyAlignment="1">
      <alignment horizontal="center"/>
    </xf>
    <xf numFmtId="0" fontId="8" fillId="3" borderId="2" xfId="0" applyFont="1" applyFill="1" applyBorder="1" applyAlignment="1">
      <alignment horizontal="center"/>
    </xf>
    <xf numFmtId="0" fontId="10" fillId="3" borderId="33" xfId="0" applyFont="1" applyFill="1" applyBorder="1" applyAlignment="1" applyProtection="1">
      <alignment horizontal="center"/>
      <protection locked="0"/>
    </xf>
    <xf numFmtId="0" fontId="10" fillId="3" borderId="35" xfId="0" applyFont="1" applyFill="1" applyBorder="1" applyAlignment="1" applyProtection="1">
      <alignment horizontal="center"/>
      <protection locked="0"/>
    </xf>
    <xf numFmtId="0" fontId="10" fillId="3" borderId="30" xfId="0" applyFont="1" applyFill="1" applyBorder="1" applyAlignment="1">
      <alignment vertical="center" wrapText="1"/>
    </xf>
    <xf numFmtId="0" fontId="11" fillId="3" borderId="31" xfId="0" applyFont="1" applyFill="1" applyBorder="1" applyAlignment="1">
      <alignment vertical="center" wrapText="1"/>
    </xf>
    <xf numFmtId="0" fontId="11" fillId="3" borderId="0" xfId="0" applyFont="1" applyFill="1" applyAlignment="1">
      <alignment horizontal="center" vertical="center" wrapText="1"/>
    </xf>
    <xf numFmtId="0" fontId="26" fillId="3" borderId="32" xfId="0" applyFont="1" applyFill="1" applyBorder="1" applyAlignment="1" applyProtection="1">
      <alignment horizontal="center"/>
      <protection locked="0"/>
    </xf>
    <xf numFmtId="0" fontId="26" fillId="3" borderId="33" xfId="0" applyFont="1" applyFill="1" applyBorder="1" applyAlignment="1" applyProtection="1">
      <alignment horizontal="center"/>
      <protection locked="0"/>
    </xf>
    <xf numFmtId="0" fontId="10" fillId="3" borderId="32" xfId="0" applyFont="1" applyFill="1" applyBorder="1" applyAlignment="1" applyProtection="1">
      <alignment horizontal="center"/>
      <protection locked="0"/>
    </xf>
    <xf numFmtId="0" fontId="10" fillId="3" borderId="34" xfId="0" applyFont="1" applyFill="1" applyBorder="1" applyAlignment="1" applyProtection="1">
      <alignment horizontal="center"/>
      <protection locked="0"/>
    </xf>
    <xf numFmtId="0" fontId="10" fillId="3" borderId="0" xfId="0" applyFont="1" applyFill="1" applyAlignment="1" applyProtection="1">
      <alignment horizontal="center"/>
      <protection locked="0"/>
    </xf>
    <xf numFmtId="0" fontId="11" fillId="3" borderId="0" xfId="0" applyFont="1" applyFill="1" applyProtection="1">
      <protection locked="0"/>
    </xf>
    <xf numFmtId="0" fontId="0" fillId="0" borderId="17" xfId="0" applyBorder="1" applyProtection="1">
      <protection locked="0"/>
    </xf>
    <xf numFmtId="0" fontId="10" fillId="3" borderId="37" xfId="0" applyFont="1" applyFill="1" applyBorder="1" applyAlignment="1">
      <alignment vertical="center" wrapText="1"/>
    </xf>
    <xf numFmtId="0" fontId="11" fillId="3" borderId="34" xfId="0" applyFont="1" applyFill="1" applyBorder="1" applyAlignment="1">
      <alignment vertical="center" wrapText="1"/>
    </xf>
    <xf numFmtId="0" fontId="10" fillId="3" borderId="38" xfId="0" applyFont="1" applyFill="1" applyBorder="1"/>
    <xf numFmtId="0" fontId="11" fillId="3" borderId="39" xfId="0" applyFont="1" applyFill="1" applyBorder="1"/>
    <xf numFmtId="0" fontId="0" fillId="0" borderId="34" xfId="0" applyBorder="1" applyAlignment="1">
      <alignment vertical="center" wrapText="1"/>
    </xf>
    <xf numFmtId="0" fontId="10" fillId="3" borderId="30" xfId="0" applyFont="1" applyFill="1" applyBorder="1"/>
    <xf numFmtId="0" fontId="11" fillId="3" borderId="31" xfId="0" applyFont="1" applyFill="1" applyBorder="1"/>
    <xf numFmtId="0" fontId="10" fillId="3" borderId="40" xfId="0" applyFont="1" applyFill="1" applyBorder="1" applyAlignment="1">
      <alignment vertical="center" wrapText="1"/>
    </xf>
    <xf numFmtId="0" fontId="11" fillId="3" borderId="41" xfId="0" applyFont="1" applyFill="1" applyBorder="1" applyAlignment="1">
      <alignment vertical="center" wrapText="1"/>
    </xf>
    <xf numFmtId="0" fontId="10" fillId="3" borderId="9" xfId="0" applyFont="1" applyFill="1" applyBorder="1" applyAlignment="1" applyProtection="1">
      <alignment horizontal="center"/>
      <protection locked="0"/>
    </xf>
    <xf numFmtId="0" fontId="10" fillId="3" borderId="5" xfId="0" applyFont="1" applyFill="1" applyBorder="1" applyAlignment="1">
      <alignment horizontal="right"/>
    </xf>
    <xf numFmtId="0" fontId="10" fillId="3" borderId="7" xfId="0" applyFont="1" applyFill="1" applyBorder="1" applyAlignment="1">
      <alignment horizontal="right"/>
    </xf>
    <xf numFmtId="0" fontId="4" fillId="0" borderId="0" xfId="0" applyFont="1"/>
    <xf numFmtId="0" fontId="0" fillId="0" borderId="0" xfId="0"/>
    <xf numFmtId="0" fontId="10" fillId="3" borderId="8" xfId="0" applyFont="1" applyFill="1" applyBorder="1"/>
    <xf numFmtId="0" fontId="11" fillId="3" borderId="10" xfId="0" applyFont="1" applyFill="1" applyBorder="1"/>
    <xf numFmtId="0" fontId="10" fillId="3" borderId="42" xfId="0" applyFont="1" applyFill="1" applyBorder="1" applyAlignment="1">
      <alignment horizontal="right"/>
    </xf>
    <xf numFmtId="0" fontId="10" fillId="3" borderId="43" xfId="0" applyFont="1" applyFill="1" applyBorder="1" applyAlignment="1">
      <alignment horizontal="right"/>
    </xf>
    <xf numFmtId="0" fontId="10" fillId="3" borderId="36" xfId="0" applyFont="1" applyFill="1" applyBorder="1" applyAlignment="1">
      <alignment horizontal="right"/>
    </xf>
    <xf numFmtId="0" fontId="10" fillId="3" borderId="35" xfId="0" applyFont="1" applyFill="1" applyBorder="1" applyAlignment="1">
      <alignment horizontal="right"/>
    </xf>
    <xf numFmtId="0" fontId="10" fillId="3" borderId="5" xfId="0" applyFont="1" applyFill="1" applyBorder="1"/>
    <xf numFmtId="0" fontId="10" fillId="3" borderId="6" xfId="0" applyFont="1" applyFill="1" applyBorder="1"/>
    <xf numFmtId="0" fontId="10" fillId="3" borderId="7" xfId="0" applyFont="1" applyFill="1" applyBorder="1"/>
    <xf numFmtId="0" fontId="10" fillId="3" borderId="1" xfId="0" applyFont="1" applyFill="1" applyBorder="1" applyProtection="1">
      <protection locked="0"/>
    </xf>
    <xf numFmtId="0" fontId="10" fillId="3" borderId="0" xfId="0" applyFont="1" applyFill="1" applyProtection="1">
      <protection locked="0"/>
    </xf>
    <xf numFmtId="0" fontId="10" fillId="3" borderId="2" xfId="0" applyFont="1" applyFill="1" applyBorder="1" applyProtection="1">
      <protection locked="0"/>
    </xf>
    <xf numFmtId="0" fontId="10" fillId="3" borderId="44" xfId="0" applyFont="1" applyFill="1" applyBorder="1" applyAlignment="1">
      <alignment horizontal="right"/>
    </xf>
    <xf numFmtId="0" fontId="10" fillId="3" borderId="26" xfId="0" applyFont="1" applyFill="1" applyBorder="1" applyAlignment="1">
      <alignment horizontal="right"/>
    </xf>
    <xf numFmtId="0" fontId="11" fillId="0" borderId="45" xfId="0" applyFont="1" applyBorder="1" applyAlignment="1">
      <alignment vertical="center" wrapText="1"/>
    </xf>
    <xf numFmtId="0" fontId="10" fillId="0" borderId="46" xfId="0" applyFont="1" applyBorder="1" applyAlignment="1">
      <alignment vertical="center" wrapText="1"/>
    </xf>
    <xf numFmtId="0" fontId="10" fillId="0" borderId="5" xfId="0" applyFont="1" applyBorder="1"/>
    <xf numFmtId="0" fontId="10" fillId="0" borderId="6" xfId="0" applyFont="1" applyBorder="1"/>
    <xf numFmtId="0" fontId="10" fillId="0" borderId="7" xfId="0" applyFont="1" applyBorder="1"/>
    <xf numFmtId="0" fontId="10" fillId="3" borderId="40" xfId="0" applyFont="1" applyFill="1" applyBorder="1"/>
    <xf numFmtId="0" fontId="11" fillId="3" borderId="41" xfId="0" applyFont="1" applyFill="1" applyBorder="1"/>
    <xf numFmtId="0" fontId="10" fillId="3" borderId="1" xfId="0" applyFont="1" applyFill="1" applyBorder="1"/>
    <xf numFmtId="0" fontId="11" fillId="3" borderId="2" xfId="0" applyFont="1" applyFill="1" applyBorder="1"/>
    <xf numFmtId="0" fontId="10" fillId="3" borderId="8" xfId="0" applyFont="1" applyFill="1" applyBorder="1" applyProtection="1">
      <protection locked="0"/>
    </xf>
    <xf numFmtId="0" fontId="11" fillId="3" borderId="9" xfId="0" applyFont="1" applyFill="1" applyBorder="1" applyProtection="1">
      <protection locked="0"/>
    </xf>
    <xf numFmtId="0" fontId="27" fillId="3" borderId="9" xfId="0" applyFont="1" applyFill="1" applyBorder="1" applyAlignment="1">
      <alignment horizontal="left" wrapText="1"/>
    </xf>
    <xf numFmtId="0" fontId="27" fillId="3" borderId="0" xfId="0" applyFont="1" applyFill="1" applyAlignment="1">
      <alignment horizontal="left" wrapText="1"/>
    </xf>
    <xf numFmtId="0" fontId="28" fillId="3" borderId="4" xfId="0" applyFont="1" applyFill="1" applyBorder="1" applyAlignment="1">
      <alignment vertical="center" wrapText="1"/>
    </xf>
    <xf numFmtId="0" fontId="3" fillId="3" borderId="13" xfId="0" applyFont="1" applyFill="1" applyBorder="1" applyAlignment="1">
      <alignment vertical="center" wrapText="1"/>
    </xf>
    <xf numFmtId="0" fontId="3" fillId="3" borderId="14" xfId="0" applyFont="1" applyFill="1" applyBorder="1" applyAlignment="1">
      <alignment vertical="center" wrapText="1"/>
    </xf>
    <xf numFmtId="0" fontId="10" fillId="3" borderId="47" xfId="0" applyFont="1" applyFill="1" applyBorder="1"/>
    <xf numFmtId="0" fontId="11" fillId="3" borderId="48" xfId="0" applyFont="1" applyFill="1" applyBorder="1"/>
    <xf numFmtId="0" fontId="10" fillId="3" borderId="49" xfId="0" applyFont="1" applyFill="1" applyBorder="1"/>
    <xf numFmtId="0" fontId="11" fillId="3" borderId="50" xfId="0" applyFont="1" applyFill="1" applyBorder="1"/>
    <xf numFmtId="0" fontId="11" fillId="3" borderId="13" xfId="0" applyFont="1" applyFill="1" applyBorder="1" applyProtection="1">
      <protection locked="0"/>
    </xf>
    <xf numFmtId="0" fontId="10" fillId="3" borderId="52" xfId="0" applyFont="1" applyFill="1" applyBorder="1"/>
    <xf numFmtId="0" fontId="11" fillId="3" borderId="21" xfId="0" applyFont="1" applyFill="1" applyBorder="1"/>
    <xf numFmtId="0" fontId="10" fillId="3" borderId="53" xfId="0" applyFont="1" applyFill="1" applyBorder="1"/>
    <xf numFmtId="0" fontId="10" fillId="3" borderId="54" xfId="0" applyFont="1" applyFill="1" applyBorder="1"/>
    <xf numFmtId="0" fontId="10" fillId="3" borderId="31" xfId="0" applyFont="1" applyFill="1" applyBorder="1"/>
    <xf numFmtId="0" fontId="10" fillId="3" borderId="51" xfId="0" applyFont="1" applyFill="1" applyBorder="1"/>
    <xf numFmtId="0" fontId="12" fillId="3" borderId="13" xfId="0" applyFont="1" applyFill="1" applyBorder="1"/>
    <xf numFmtId="0" fontId="13" fillId="3" borderId="13" xfId="0" applyFont="1" applyFill="1" applyBorder="1"/>
    <xf numFmtId="0" fontId="10" fillId="3" borderId="4" xfId="0" applyFont="1" applyFill="1" applyBorder="1" applyAlignment="1">
      <alignment wrapText="1"/>
    </xf>
    <xf numFmtId="0" fontId="11" fillId="3" borderId="14" xfId="0" applyFont="1" applyFill="1" applyBorder="1" applyAlignment="1">
      <alignment wrapText="1"/>
    </xf>
    <xf numFmtId="0" fontId="21" fillId="3" borderId="30" xfId="0" applyFont="1" applyFill="1" applyBorder="1" applyAlignment="1">
      <alignment vertical="center" wrapText="1"/>
    </xf>
    <xf numFmtId="0" fontId="10" fillId="3" borderId="44" xfId="0" applyFont="1" applyFill="1" applyBorder="1" applyAlignment="1">
      <alignment vertical="center" wrapText="1"/>
    </xf>
    <xf numFmtId="0" fontId="11" fillId="3" borderId="26" xfId="0" applyFont="1" applyFill="1" applyBorder="1" applyAlignment="1">
      <alignment vertical="center" wrapText="1"/>
    </xf>
    <xf numFmtId="0" fontId="10" fillId="3" borderId="4" xfId="0" applyFont="1" applyFill="1" applyBorder="1"/>
    <xf numFmtId="0" fontId="10" fillId="3" borderId="14" xfId="0" applyFont="1" applyFill="1" applyBorder="1"/>
    <xf numFmtId="0" fontId="10" fillId="3" borderId="53" xfId="0" applyFont="1" applyFill="1" applyBorder="1" applyAlignment="1">
      <alignment vertical="center" wrapText="1"/>
    </xf>
    <xf numFmtId="0" fontId="11" fillId="3" borderId="54" xfId="0" applyFont="1" applyFill="1" applyBorder="1" applyAlignment="1">
      <alignment vertical="center" wrapText="1"/>
    </xf>
    <xf numFmtId="0" fontId="10" fillId="3" borderId="16" xfId="0" applyFont="1" applyFill="1" applyBorder="1" applyAlignment="1" applyProtection="1">
      <alignment horizontal="center"/>
      <protection locked="0"/>
    </xf>
    <xf numFmtId="0" fontId="39" fillId="0" borderId="0" xfId="0" applyNumberFormat="1" applyFont="1" applyAlignment="1" applyProtection="1">
      <alignment horizontal="center" vertical="center"/>
      <protection locked="0"/>
    </xf>
    <xf numFmtId="0" fontId="39" fillId="0" borderId="2" xfId="0" applyNumberFormat="1" applyFont="1" applyBorder="1" applyAlignment="1" applyProtection="1">
      <alignment horizontal="center" vertical="center"/>
      <protection locked="0"/>
    </xf>
  </cellXfs>
  <cellStyles count="3">
    <cellStyle name="Normal 2" xfId="1" xr:uid="{00000000-0005-0000-0000-000000000000}"/>
    <cellStyle name="一般" xfId="0" builtinId="0"/>
    <cellStyle name="百分比" xfId="2" builtinId="5"/>
  </cellStyles>
  <dxfs count="1">
    <dxf>
      <numFmt numFmtId="177" formatCode="\-"/>
      <fill>
        <patternFill>
          <bgColor theme="0" tint="-0.149967955565050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E3E3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en-US" altLang="zh-TW"/>
              <a:t>Mean Fish Abundance For &lt;&lt;RC Reef name, depth and date&gt;&gt;</a:t>
            </a:r>
          </a:p>
        </c:rich>
      </c:tx>
      <c:layout>
        <c:manualLayout>
          <c:xMode val="edge"/>
          <c:yMode val="edge"/>
          <c:x val="0.22115402990356542"/>
          <c:y val="3.7800820672063876E-2"/>
        </c:manualLayout>
      </c:layout>
      <c:overlay val="0"/>
      <c:spPr>
        <a:noFill/>
        <a:ln w="25400">
          <a:noFill/>
        </a:ln>
      </c:spPr>
    </c:title>
    <c:autoTitleDeleted val="0"/>
    <c:plotArea>
      <c:layout>
        <c:manualLayout>
          <c:layoutTarget val="inner"/>
          <c:xMode val="edge"/>
          <c:yMode val="edge"/>
          <c:x val="0.11346164500229586"/>
          <c:y val="0.16494900715812646"/>
          <c:w val="0.87692390035672729"/>
          <c:h val="0.51890208501827284"/>
        </c:manualLayout>
      </c:layout>
      <c:barChart>
        <c:barDir val="col"/>
        <c:grouping val="clustered"/>
        <c:varyColors val="0"/>
        <c:ser>
          <c:idx val="0"/>
          <c:order val="0"/>
          <c:spPr>
            <a:solidFill>
              <a:srgbClr val="FF0000"/>
            </a:solidFill>
            <a:ln w="12700">
              <a:solidFill>
                <a:srgbClr val="000000"/>
              </a:solidFill>
              <a:prstDash val="solid"/>
            </a:ln>
          </c:spPr>
          <c:invertIfNegative val="0"/>
          <c:dPt>
            <c:idx val="0"/>
            <c:invertIfNegative val="0"/>
            <c:bubble3D val="0"/>
            <c:spPr>
              <a:solidFill>
                <a:srgbClr val="FFFF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0-CC18-EA43-A9E7-1626914ECD32}"/>
              </c:ext>
            </c:extLst>
          </c:dPt>
          <c:dPt>
            <c:idx val="1"/>
            <c:invertIfNegative val="0"/>
            <c:bubble3D val="0"/>
            <c:spPr>
              <a:solidFill>
                <a:srgbClr val="33CCCC"/>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1-CC18-EA43-A9E7-1626914ECD32}"/>
              </c:ext>
            </c:extLst>
          </c:dPt>
          <c:dPt>
            <c:idx val="2"/>
            <c:invertIfNegative val="0"/>
            <c:bubble3D val="0"/>
            <c:spPr>
              <a:solidFill>
                <a:srgbClr val="E3E3E3"/>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2-CC18-EA43-A9E7-1626914ECD32}"/>
              </c:ext>
            </c:extLst>
          </c:dPt>
          <c:dPt>
            <c:idx val="3"/>
            <c:invertIfNegative val="0"/>
            <c:bubble3D val="0"/>
            <c:spPr>
              <a:solidFill>
                <a:srgbClr val="424242"/>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3-CC18-EA43-A9E7-1626914ECD32}"/>
              </c:ext>
            </c:extLst>
          </c:dPt>
          <c:dPt>
            <c:idx val="4"/>
            <c:invertIfNegative val="0"/>
            <c:bubble3D val="0"/>
            <c:spPr>
              <a:solidFill>
                <a:srgbClr val="FF0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4-CC18-EA43-A9E7-1626914ECD32}"/>
              </c:ext>
            </c:extLst>
          </c:dPt>
          <c:dPt>
            <c:idx val="5"/>
            <c:invertIfNegative val="0"/>
            <c:bubble3D val="0"/>
            <c:spPr>
              <a:solidFill>
                <a:srgbClr val="339933"/>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5-CC18-EA43-A9E7-1626914ECD32}"/>
              </c:ext>
            </c:extLst>
          </c:dPt>
          <c:dPt>
            <c:idx val="6"/>
            <c:invertIfNegative val="0"/>
            <c:bubble3D val="0"/>
            <c:spPr>
              <a:solidFill>
                <a:srgbClr val="336666"/>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6-CC18-EA43-A9E7-1626914ECD32}"/>
              </c:ext>
            </c:extLst>
          </c:dPt>
          <c:dPt>
            <c:idx val="7"/>
            <c:invertIfNegative val="0"/>
            <c:bubble3D val="0"/>
            <c:spPr>
              <a:solidFill>
                <a:srgbClr val="00808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7-CC18-EA43-A9E7-1626914ECD32}"/>
              </c:ext>
            </c:extLst>
          </c:dPt>
          <c:dPt>
            <c:idx val="8"/>
            <c:invertIfNegative val="0"/>
            <c:bubble3D val="0"/>
            <c:spPr>
              <a:solidFill>
                <a:srgbClr val="3333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8-CC18-EA43-A9E7-1626914ECD32}"/>
              </c:ext>
            </c:extLst>
          </c:dPt>
          <c:errBars>
            <c:errBarType val="both"/>
            <c:errValType val="cust"/>
            <c:noEndCap val="0"/>
            <c:plus>
              <c:numRef>
                <c:f>GRAPHS!$C$5:$C$14</c:f>
                <c:numCache>
                  <c:formatCode>General</c:formatCode>
                  <c:ptCount val="0"/>
                </c:numCache>
              </c:numRef>
            </c:plus>
            <c:minus>
              <c:numRef>
                <c:f>GRAPHS!$C$5:$C$14</c:f>
                <c:numCache>
                  <c:formatCode>General</c:formatCode>
                  <c:ptCount val="0"/>
                </c:numCache>
              </c:numRef>
            </c:minus>
            <c:spPr>
              <a:ln w="12700">
                <a:solidFill>
                  <a:srgbClr val="000000"/>
                </a:solidFill>
                <a:prstDash val="solid"/>
              </a:ln>
            </c:spPr>
          </c:errBars>
          <c:cat>
            <c:strRef>
              <c:f>GRAPHS!$A$5:$A$14</c:f>
              <c:strCache>
                <c:ptCount val="0"/>
              </c:strCache>
            </c:strRef>
          </c:cat>
          <c:val>
            <c:numRef>
              <c:f>GRAPHS!$B$5:$B$14</c:f>
              <c:numCache>
                <c:formatCode>General</c:formatCode>
                <c:ptCount val="0"/>
              </c:numCache>
            </c:numRef>
          </c:val>
          <c:extLst>
            <c:ext xmlns:c16="http://schemas.microsoft.com/office/drawing/2014/chart" uri="{C3380CC4-5D6E-409C-BE32-E72D297353CC}">
              <c16:uniqueId val="{00000009-CC18-EA43-A9E7-1626914ECD32}"/>
            </c:ext>
          </c:extLst>
        </c:ser>
        <c:dLbls>
          <c:showLegendKey val="0"/>
          <c:showVal val="0"/>
          <c:showCatName val="0"/>
          <c:showSerName val="0"/>
          <c:showPercent val="0"/>
          <c:showBubbleSize val="0"/>
        </c:dLbls>
        <c:gapWidth val="150"/>
        <c:axId val="256966496"/>
        <c:axId val="1"/>
      </c:barChart>
      <c:catAx>
        <c:axId val="256966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50"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tickLblSkip val="1"/>
        <c:tickMarkSkip val="1"/>
        <c:noMultiLvlLbl val="0"/>
      </c:catAx>
      <c:valAx>
        <c:axId val="1"/>
        <c:scaling>
          <c:orientation val="minMax"/>
          <c:max val="12"/>
        </c:scaling>
        <c:delete val="0"/>
        <c:axPos val="l"/>
        <c:majorGridlines>
          <c:spPr>
            <a:ln w="3175">
              <a:solidFill>
                <a:srgbClr val="FFFFFF"/>
              </a:solidFill>
              <a:prstDash val="solid"/>
            </a:ln>
          </c:spPr>
        </c:majorGridlines>
        <c:title>
          <c:tx>
            <c:rich>
              <a:bodyPr/>
              <a:lstStyle/>
              <a:p>
                <a:pPr>
                  <a:defRPr sz="850" b="1" i="0" u="none" strike="noStrike" baseline="0">
                    <a:solidFill>
                      <a:srgbClr val="000000"/>
                    </a:solidFill>
                    <a:latin typeface="Arial Narrow"/>
                    <a:ea typeface="Arial Narrow"/>
                    <a:cs typeface="Arial Narrow"/>
                  </a:defRPr>
                </a:pPr>
                <a:r>
                  <a:rPr lang="en-US" altLang="zh-TW"/>
                  <a:t>Mean Abundance +- SE</a:t>
                </a:r>
              </a:p>
            </c:rich>
          </c:tx>
          <c:layout>
            <c:manualLayout>
              <c:xMode val="edge"/>
              <c:yMode val="edge"/>
              <c:x val="9.6153233654781914E-3"/>
              <c:y val="0.2749151602528557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Narrow"/>
                <a:ea typeface="Arial Narrow"/>
                <a:cs typeface="Arial Narrow"/>
              </a:defRPr>
            </a:pPr>
            <a:endParaRPr lang="zh-TW"/>
          </a:p>
        </c:txPr>
        <c:crossAx val="256966496"/>
        <c:crosses val="autoZero"/>
        <c:crossBetween val="between"/>
        <c:majorUnit val="2"/>
        <c:minorUnit val="0.5"/>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Calibri"/>
                <a:ea typeface="Calibri"/>
                <a:cs typeface="Calibri"/>
              </a:defRPr>
            </a:pPr>
            <a:r>
              <a:rPr lang="en-US" altLang="zh-TW"/>
              <a:t>Incidence Of Impacts For &lt;&lt;RC Reef name, depth and date&gt;&gt;</a:t>
            </a:r>
          </a:p>
        </c:rich>
      </c:tx>
      <c:layout>
        <c:manualLayout>
          <c:xMode val="edge"/>
          <c:yMode val="edge"/>
          <c:x val="0.17514175827031522"/>
          <c:y val="2.9288638920134984E-2"/>
        </c:manualLayout>
      </c:layout>
      <c:overlay val="0"/>
      <c:spPr>
        <a:noFill/>
        <a:ln w="25400">
          <a:noFill/>
        </a:ln>
      </c:spPr>
    </c:title>
    <c:autoTitleDeleted val="0"/>
    <c:plotArea>
      <c:layout>
        <c:manualLayout>
          <c:layoutTarget val="inner"/>
          <c:xMode val="edge"/>
          <c:yMode val="edge"/>
          <c:x val="0.16384225989323992"/>
          <c:y val="0.42677824267782427"/>
          <c:w val="0.7909626339673651"/>
          <c:h val="0.24267782426778242"/>
        </c:manualLayout>
      </c:layout>
      <c:barChart>
        <c:barDir val="col"/>
        <c:grouping val="clustered"/>
        <c:varyColors val="0"/>
        <c:ser>
          <c:idx val="0"/>
          <c:order val="0"/>
          <c:spPr>
            <a:solidFill>
              <a:srgbClr val="8080FF"/>
            </a:solidFill>
            <a:ln w="12700">
              <a:solidFill>
                <a:srgbClr val="000000"/>
              </a:solidFill>
              <a:prstDash val="solid"/>
            </a:ln>
          </c:spPr>
          <c:invertIfNegative val="0"/>
          <c:dPt>
            <c:idx val="0"/>
            <c:invertIfNegative val="0"/>
            <c:bubble3D val="0"/>
            <c:spPr>
              <a:solidFill>
                <a:srgbClr val="80808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0-8A8A-FC4B-9426-2DE54D72D2E6}"/>
              </c:ext>
            </c:extLst>
          </c:dPt>
          <c:dPt>
            <c:idx val="1"/>
            <c:invertIfNegative val="0"/>
            <c:bubble3D val="0"/>
            <c:spPr>
              <a:solidFill>
                <a:srgbClr val="000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1-8A8A-FC4B-9426-2DE54D72D2E6}"/>
              </c:ext>
            </c:extLst>
          </c:dPt>
          <c:dPt>
            <c:idx val="2"/>
            <c:invertIfNegative val="0"/>
            <c:bubble3D val="0"/>
            <c:spPr>
              <a:solidFill>
                <a:srgbClr val="E3E3E3"/>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2-8A8A-FC4B-9426-2DE54D72D2E6}"/>
              </c:ext>
            </c:extLst>
          </c:dPt>
          <c:dPt>
            <c:idx val="3"/>
            <c:invertIfNegative val="0"/>
            <c:bubble3D val="0"/>
            <c:spPr>
              <a:solidFill>
                <a:srgbClr val="996666"/>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3-8A8A-FC4B-9426-2DE54D72D2E6}"/>
              </c:ext>
            </c:extLst>
          </c:dPt>
          <c:dPt>
            <c:idx val="4"/>
            <c:invertIfNegative val="0"/>
            <c:bubble3D val="0"/>
            <c:spPr>
              <a:solidFill>
                <a:srgbClr val="339933"/>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4-8A8A-FC4B-9426-2DE54D72D2E6}"/>
              </c:ext>
            </c:extLst>
          </c:dPt>
          <c:dLbls>
            <c:spPr>
              <a:noFill/>
              <a:ln w="25400">
                <a:noFill/>
              </a:ln>
            </c:spPr>
            <c:txPr>
              <a:bodyPr wrap="square" lIns="38100" tIns="19050" rIns="38100" bIns="19050" anchor="ctr">
                <a:spAutoFit/>
              </a:bodyPr>
              <a:lstStyle/>
              <a:p>
                <a:pPr algn="ctr" rtl="1">
                  <a:defRPr sz="875" b="1" i="0" u="none" strike="noStrike" baseline="0">
                    <a:solidFill>
                      <a:srgbClr val="000000"/>
                    </a:solidFill>
                    <a:latin typeface="Arial Narrow"/>
                    <a:ea typeface="Arial Narrow"/>
                    <a:cs typeface="Arial Narrow"/>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GRAPHS!$C$55:$C$59</c:f>
                <c:numCache>
                  <c:formatCode>General</c:formatCode>
                  <c:ptCount val="0"/>
                </c:numCache>
              </c:numRef>
            </c:plus>
            <c:minus>
              <c:numRef>
                <c:f>GRAPHS!$C$55:$C$59</c:f>
                <c:numCache>
                  <c:formatCode>General</c:formatCode>
                  <c:ptCount val="0"/>
                </c:numCache>
              </c:numRef>
            </c:minus>
            <c:spPr>
              <a:ln w="12700">
                <a:solidFill>
                  <a:srgbClr val="000000"/>
                </a:solidFill>
                <a:prstDash val="solid"/>
              </a:ln>
            </c:spPr>
          </c:errBars>
          <c:cat>
            <c:strRef>
              <c:f>GRAPHS!$A$55:$A$59</c:f>
              <c:strCache>
                <c:ptCount val="0"/>
              </c:strCache>
            </c:strRef>
          </c:cat>
          <c:val>
            <c:numRef>
              <c:f>GRAPHS!$B$55:$B$59</c:f>
              <c:numCache>
                <c:formatCode>General</c:formatCode>
                <c:ptCount val="0"/>
              </c:numCache>
            </c:numRef>
          </c:val>
          <c:extLst>
            <c:ext xmlns:c16="http://schemas.microsoft.com/office/drawing/2014/chart" uri="{C3380CC4-5D6E-409C-BE32-E72D297353CC}">
              <c16:uniqueId val="{00000005-8A8A-FC4B-9426-2DE54D72D2E6}"/>
            </c:ext>
          </c:extLst>
        </c:ser>
        <c:dLbls>
          <c:showLegendKey val="0"/>
          <c:showVal val="0"/>
          <c:showCatName val="0"/>
          <c:showSerName val="0"/>
          <c:showPercent val="0"/>
          <c:showBubbleSize val="0"/>
        </c:dLbls>
        <c:gapWidth val="150"/>
        <c:axId val="257491792"/>
        <c:axId val="1"/>
      </c:barChart>
      <c:catAx>
        <c:axId val="25749179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75"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tickLblSkip val="1"/>
        <c:tickMarkSkip val="1"/>
        <c:noMultiLvlLbl val="0"/>
      </c:catAx>
      <c:valAx>
        <c:axId val="1"/>
        <c:scaling>
          <c:orientation val="minMax"/>
          <c:max val="3"/>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en-US" altLang="zh-TW"/>
                  <a:t>Impact rank +-SE</a:t>
                </a:r>
              </a:p>
            </c:rich>
          </c:tx>
          <c:layout>
            <c:manualLayout>
              <c:xMode val="edge"/>
              <c:yMode val="edge"/>
              <c:x val="1.4124373067227981E-2"/>
              <c:y val="0.3472805399325084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257491792"/>
        <c:crosses val="autoZero"/>
        <c:crossBetween val="between"/>
        <c:majorUnit val="1"/>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Calibri"/>
                <a:ea typeface="Calibri"/>
                <a:cs typeface="Calibri"/>
              </a:defRPr>
            </a:pPr>
            <a:r>
              <a:rPr lang="en-US" altLang="zh-TW"/>
              <a:t>Estimated Percentage Of Coral Population Affected By Bleaching For &lt;&lt; RC Reef name, depth and date&gt;&gt;</a:t>
            </a:r>
          </a:p>
        </c:rich>
      </c:tx>
      <c:layout>
        <c:manualLayout>
          <c:xMode val="edge"/>
          <c:yMode val="edge"/>
          <c:x val="9.7744443336987952E-2"/>
          <c:y val="2.4822834645669291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3.9711191335740074E-2"/>
          <c:y val="0.43617021276595747"/>
          <c:w val="0.85559566787003605"/>
          <c:h val="0.33333333333333331"/>
        </c:manualLayout>
      </c:layout>
      <c:pie3DChart>
        <c:varyColors val="1"/>
        <c:ser>
          <c:idx val="0"/>
          <c:order val="0"/>
          <c:spPr>
            <a:solidFill>
              <a:srgbClr val="8080FF"/>
            </a:solidFill>
            <a:ln w="12700">
              <a:solidFill>
                <a:srgbClr val="000000"/>
              </a:solidFill>
              <a:prstDash val="solid"/>
            </a:ln>
          </c:spPr>
          <c:explosion val="58"/>
          <c:dPt>
            <c:idx val="0"/>
            <c:bubble3D val="0"/>
            <c:spPr>
              <a:solidFill>
                <a:srgbClr val="A6CAF0"/>
              </a:solidFill>
              <a:ln w="12700">
                <a:solidFill>
                  <a:srgbClr val="000000"/>
                </a:solidFill>
                <a:prstDash val="solid"/>
              </a:ln>
            </c:spPr>
            <c:extLst>
              <c:ext xmlns:c16="http://schemas.microsoft.com/office/drawing/2014/chart" uri="{C3380CC4-5D6E-409C-BE32-E72D297353CC}">
                <c16:uniqueId val="{00000000-A5F7-2145-8F4F-68B607E56442}"/>
              </c:ext>
            </c:extLst>
          </c:dPt>
          <c:dPt>
            <c:idx val="1"/>
            <c:bubble3D val="0"/>
            <c:spPr>
              <a:solidFill>
                <a:srgbClr val="FF8080"/>
              </a:solidFill>
              <a:ln w="12700">
                <a:solidFill>
                  <a:srgbClr val="000000"/>
                </a:solidFill>
                <a:prstDash val="solid"/>
              </a:ln>
            </c:spPr>
            <c:extLst>
              <c:ext xmlns:c16="http://schemas.microsoft.com/office/drawing/2014/chart" uri="{C3380CC4-5D6E-409C-BE32-E72D297353CC}">
                <c16:uniqueId val="{00000001-A5F7-2145-8F4F-68B607E56442}"/>
              </c:ext>
            </c:extLst>
          </c:dPt>
          <c:dLbls>
            <c:spPr>
              <a:noFill/>
              <a:ln w="25400">
                <a:noFill/>
              </a:ln>
            </c:spPr>
            <c:txPr>
              <a:bodyPr wrap="square" lIns="38100" tIns="19050" rIns="38100" bIns="19050" anchor="ctr">
                <a:spAutoFit/>
              </a:bodyPr>
              <a:lstStyle/>
              <a:p>
                <a:pPr algn="ctr" rtl="1">
                  <a:defRPr sz="950" b="1" i="0" u="none" strike="noStrike" baseline="0">
                    <a:solidFill>
                      <a:srgbClr val="000000"/>
                    </a:solidFill>
                    <a:latin typeface="Arial Narrow"/>
                    <a:ea typeface="Arial Narrow"/>
                    <a:cs typeface="Arial Narrow"/>
                  </a:defRPr>
                </a:pPr>
                <a:endParaRPr lang="zh-TW"/>
              </a:p>
            </c:txPr>
            <c:showLegendKey val="0"/>
            <c:showVal val="1"/>
            <c:showCatName val="0"/>
            <c:showSerName val="0"/>
            <c:showPercent val="0"/>
            <c:showBubbleSize val="0"/>
            <c:showLeaderLines val="1"/>
            <c:extLst>
              <c:ext xmlns:c15="http://schemas.microsoft.com/office/drawing/2012/chart" uri="{CE6537A1-D6FC-4f65-9D91-7224C49458BB}"/>
            </c:extLst>
          </c:dLbls>
          <c:cat>
            <c:strRef>
              <c:f>GRAPHS!$A$62:$A$63</c:f>
              <c:strCache>
                <c:ptCount val="0"/>
              </c:strCache>
            </c:strRef>
          </c:cat>
          <c:val>
            <c:numRef>
              <c:f>GRAPHS!$B$62:$B$63</c:f>
              <c:numCache>
                <c:formatCode>General</c:formatCode>
                <c:ptCount val="0"/>
              </c:numCache>
            </c:numRef>
          </c:val>
          <c:extLst>
            <c:ext xmlns:c16="http://schemas.microsoft.com/office/drawing/2014/chart" uri="{C3380CC4-5D6E-409C-BE32-E72D297353CC}">
              <c16:uniqueId val="{00000002-A5F7-2145-8F4F-68B607E56442}"/>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1519718263065218"/>
          <c:y val="0.60098160205935802"/>
          <c:w val="0.46837004551646239"/>
          <c:h val="0.27885561780738943"/>
        </c:manualLayout>
      </c:layout>
      <c:overlay val="0"/>
      <c:spPr>
        <a:solidFill>
          <a:srgbClr val="FFFFFF"/>
        </a:solidFill>
        <a:ln w="25400">
          <a:noFill/>
        </a:ln>
      </c:spPr>
      <c:txPr>
        <a:bodyPr/>
        <a:lstStyle/>
        <a:p>
          <a:pPr>
            <a:defRPr sz="350" b="1" i="0" u="none" strike="noStrike" baseline="0">
              <a:solidFill>
                <a:srgbClr val="000000"/>
              </a:solidFill>
              <a:latin typeface="Arial Narrow"/>
              <a:ea typeface="Arial Narrow"/>
              <a:cs typeface="Arial Narrow"/>
            </a:defRPr>
          </a:pPr>
          <a:endParaRPr lang="zh-TW"/>
        </a:p>
      </c:txPr>
    </c:legend>
    <c:plotVisOnly val="1"/>
    <c:dispBlanksAs val="zero"/>
    <c:showDLblsOverMax val="0"/>
  </c:chart>
  <c:spPr>
    <a:solidFill>
      <a:srgbClr val="FFFFFF"/>
    </a:solidFill>
    <a:ln w="9525">
      <a:noFill/>
    </a:ln>
  </c:spPr>
  <c:txPr>
    <a:bodyPr/>
    <a:lstStyle/>
    <a:p>
      <a:pPr>
        <a:defRPr sz="850"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Narrow"/>
                <a:ea typeface="Arial Narrow"/>
                <a:cs typeface="Arial Narrow"/>
              </a:defRPr>
            </a:pPr>
            <a:r>
              <a:rPr lang="zh-TW" altLang="en-US" sz="1200" b="0" i="0" u="none" strike="noStrike" baseline="0">
                <a:solidFill>
                  <a:srgbClr val="000000"/>
                </a:solidFill>
                <a:latin typeface="Calibri" charset="0"/>
                <a:cs typeface="Calibri" charset="0"/>
              </a:rPr>
              <a:t>Estimated Percentage Of Coral Colony Surface Affected By Bleaching For </a:t>
            </a:r>
            <a:r>
              <a:rPr lang="zh-TW" altLang="en-US" sz="1050" b="1" i="0" u="none" strike="noStrike" baseline="0">
                <a:solidFill>
                  <a:srgbClr val="0000FF"/>
                </a:solidFill>
                <a:latin typeface="Arial Narrow" charset="0"/>
                <a:cs typeface="Arial Narrow" charset="0"/>
              </a:rPr>
              <a:t>&lt;&lt; RC Reef name, depth and date&gt;&gt;</a:t>
            </a:r>
          </a:p>
        </c:rich>
      </c:tx>
      <c:layout>
        <c:manualLayout>
          <c:xMode val="edge"/>
          <c:yMode val="edge"/>
          <c:x val="0.16475182789651294"/>
          <c:y val="3.5587144155057544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1494295880836479"/>
          <c:y val="0.48754448398576511"/>
          <c:w val="0.81226357557911122"/>
          <c:h val="0.29893238434163699"/>
        </c:manualLayout>
      </c:layout>
      <c:pie3DChart>
        <c:varyColors val="1"/>
        <c:ser>
          <c:idx val="0"/>
          <c:order val="0"/>
          <c:spPr>
            <a:solidFill>
              <a:srgbClr val="8080FF"/>
            </a:solidFill>
            <a:ln w="12700">
              <a:solidFill>
                <a:srgbClr val="000000"/>
              </a:solidFill>
              <a:prstDash val="solid"/>
            </a:ln>
          </c:spPr>
          <c:explosion val="25"/>
          <c:dPt>
            <c:idx val="0"/>
            <c:bubble3D val="0"/>
            <c:spPr>
              <a:solidFill>
                <a:srgbClr val="A6CAF0"/>
              </a:solidFill>
              <a:ln w="12700">
                <a:solidFill>
                  <a:srgbClr val="000000"/>
                </a:solidFill>
                <a:prstDash val="solid"/>
              </a:ln>
            </c:spPr>
            <c:extLst>
              <c:ext xmlns:c16="http://schemas.microsoft.com/office/drawing/2014/chart" uri="{C3380CC4-5D6E-409C-BE32-E72D297353CC}">
                <c16:uniqueId val="{00000000-6765-B149-AC2C-51CF614DC3C8}"/>
              </c:ext>
            </c:extLst>
          </c:dPt>
          <c:dPt>
            <c:idx val="1"/>
            <c:bubble3D val="0"/>
            <c:spPr>
              <a:solidFill>
                <a:srgbClr val="FF8080"/>
              </a:solidFill>
              <a:ln w="12700">
                <a:solidFill>
                  <a:srgbClr val="000000"/>
                </a:solidFill>
                <a:prstDash val="solid"/>
              </a:ln>
            </c:spPr>
            <c:extLst>
              <c:ext xmlns:c16="http://schemas.microsoft.com/office/drawing/2014/chart" uri="{C3380CC4-5D6E-409C-BE32-E72D297353CC}">
                <c16:uniqueId val="{00000001-6765-B149-AC2C-51CF614DC3C8}"/>
              </c:ext>
            </c:extLst>
          </c:dPt>
          <c:dLbls>
            <c:spPr>
              <a:noFill/>
              <a:ln w="25400">
                <a:noFill/>
              </a:ln>
            </c:spPr>
            <c:txPr>
              <a:bodyPr wrap="square" lIns="38100" tIns="19050" rIns="38100" bIns="19050" anchor="ctr">
                <a:spAutoFit/>
              </a:bodyPr>
              <a:lstStyle/>
              <a:p>
                <a:pPr algn="ctr" rtl="1">
                  <a:defRPr sz="950" b="1" i="0" u="none" strike="noStrike" baseline="0">
                    <a:solidFill>
                      <a:srgbClr val="000000"/>
                    </a:solidFill>
                    <a:latin typeface="Arial Narrow"/>
                    <a:ea typeface="Arial Narrow"/>
                    <a:cs typeface="Arial Narrow"/>
                  </a:defRPr>
                </a:pPr>
                <a:endParaRPr lang="zh-TW"/>
              </a:p>
            </c:txPr>
            <c:showLegendKey val="0"/>
            <c:showVal val="1"/>
            <c:showCatName val="0"/>
            <c:showSerName val="0"/>
            <c:showPercent val="0"/>
            <c:showBubbleSize val="0"/>
            <c:showLeaderLines val="1"/>
            <c:extLst>
              <c:ext xmlns:c15="http://schemas.microsoft.com/office/drawing/2012/chart" uri="{CE6537A1-D6FC-4f65-9D91-7224C49458BB}"/>
            </c:extLst>
          </c:dLbls>
          <c:cat>
            <c:strRef>
              <c:f>GRAPHS!$A$66:$A$67</c:f>
              <c:strCache>
                <c:ptCount val="0"/>
              </c:strCache>
            </c:strRef>
          </c:cat>
          <c:val>
            <c:numRef>
              <c:f>GRAPHS!$B$66:$B$67</c:f>
              <c:numCache>
                <c:formatCode>General</c:formatCode>
                <c:ptCount val="0"/>
              </c:numCache>
            </c:numRef>
          </c:val>
          <c:extLst>
            <c:ext xmlns:c16="http://schemas.microsoft.com/office/drawing/2014/chart" uri="{C3380CC4-5D6E-409C-BE32-E72D297353CC}">
              <c16:uniqueId val="{00000002-6765-B149-AC2C-51CF614DC3C8}"/>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9465305118110235"/>
          <c:y val="0.74040960024227742"/>
          <c:w val="0.39733548931383583"/>
          <c:h val="0.17789067231980615"/>
        </c:manualLayout>
      </c:layout>
      <c:overlay val="0"/>
      <c:spPr>
        <a:solidFill>
          <a:srgbClr val="FFFFFF"/>
        </a:solidFill>
        <a:ln w="25400">
          <a:noFill/>
        </a:ln>
      </c:spPr>
      <c:txPr>
        <a:bodyPr/>
        <a:lstStyle/>
        <a:p>
          <a:pPr>
            <a:defRPr sz="440" b="1" i="0" u="none" strike="noStrike" baseline="0">
              <a:solidFill>
                <a:srgbClr val="000000"/>
              </a:solidFill>
              <a:latin typeface="Arial Narrow"/>
              <a:ea typeface="Arial Narrow"/>
              <a:cs typeface="Arial Narrow"/>
            </a:defRPr>
          </a:pPr>
          <a:endParaRPr lang="zh-TW"/>
        </a:p>
      </c:txPr>
    </c:legend>
    <c:plotVisOnly val="1"/>
    <c:dispBlanksAs val="zero"/>
    <c:showDLblsOverMax val="0"/>
  </c:chart>
  <c:spPr>
    <a:solidFill>
      <a:srgbClr val="FFFFFF"/>
    </a:solidFill>
    <a:ln w="9525">
      <a:noFill/>
    </a:ln>
  </c:spPr>
  <c:txPr>
    <a:bodyPr/>
    <a:lstStyle/>
    <a:p>
      <a:pPr>
        <a:defRPr sz="850"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zh-TW" altLang="en-US" sz="1200" b="0" i="0" u="none" strike="noStrike" baseline="0">
                <a:solidFill>
                  <a:srgbClr val="000000"/>
                </a:solidFill>
                <a:latin typeface="Calibri" charset="0"/>
                <a:cs typeface="Calibri" charset="0"/>
              </a:rPr>
              <a:t>Estimated Percentage Of Coral Disease For </a:t>
            </a:r>
            <a:r>
              <a:rPr lang="zh-TW" altLang="en-US" sz="1050" b="1" i="0" u="none" strike="noStrike" baseline="0">
                <a:solidFill>
                  <a:srgbClr val="0000FF"/>
                </a:solidFill>
                <a:latin typeface="Arial Narrow" charset="0"/>
                <a:cs typeface="Arial Narrow" charset="0"/>
              </a:rPr>
              <a:t>&lt;&lt; RC Reef name, depth and date&gt;&gt;</a:t>
            </a:r>
          </a:p>
        </c:rich>
      </c:tx>
      <c:layout>
        <c:manualLayout>
          <c:xMode val="edge"/>
          <c:yMode val="edge"/>
          <c:x val="0.15241629578911334"/>
          <c:y val="1.7605549306336708E-2"/>
        </c:manualLayout>
      </c:layout>
      <c:overlay val="0"/>
      <c:spPr>
        <a:noFill/>
        <a:ln w="25400">
          <a:noFill/>
        </a:ln>
      </c:spPr>
    </c:title>
    <c:autoTitleDeleted val="0"/>
    <c:plotArea>
      <c:layout>
        <c:manualLayout>
          <c:layoutTarget val="inner"/>
          <c:xMode val="edge"/>
          <c:yMode val="edge"/>
          <c:x val="6.6914498141263934E-2"/>
          <c:y val="0.39084507042253519"/>
          <c:w val="0.88475836431226762"/>
          <c:h val="0.33450704225352113"/>
        </c:manualLayout>
      </c:layout>
      <c:barChart>
        <c:barDir val="col"/>
        <c:grouping val="clustered"/>
        <c:varyColors val="0"/>
        <c:ser>
          <c:idx val="0"/>
          <c:order val="0"/>
          <c:spPr>
            <a:solidFill>
              <a:srgbClr val="FF8080"/>
            </a:solidFill>
            <a:ln w="12700">
              <a:solidFill>
                <a:srgbClr val="000000"/>
              </a:solidFill>
              <a:prstDash val="solid"/>
            </a:ln>
          </c:spPr>
          <c:invertIfNegative val="0"/>
          <c:dPt>
            <c:idx val="0"/>
            <c:invertIfNegative val="0"/>
            <c:bubble3D val="0"/>
            <c:spPr>
              <a:solidFill>
                <a:srgbClr val="996666"/>
              </a:solidFill>
              <a:ln w="12700">
                <a:solidFill>
                  <a:srgbClr val="000000"/>
                </a:solidFill>
                <a:prstDash val="solid"/>
              </a:ln>
            </c:spPr>
            <c:extLst>
              <c:ext xmlns:c16="http://schemas.microsoft.com/office/drawing/2014/chart" uri="{C3380CC4-5D6E-409C-BE32-E72D297353CC}">
                <c16:uniqueId val="{00000000-F476-2F4C-8F4A-05AEC3201536}"/>
              </c:ext>
            </c:extLst>
          </c:dPt>
          <c:dPt>
            <c:idx val="1"/>
            <c:invertIfNegative val="0"/>
            <c:bubble3D val="0"/>
            <c:extLst>
              <c:ext xmlns:c16="http://schemas.microsoft.com/office/drawing/2014/chart" uri="{C3380CC4-5D6E-409C-BE32-E72D297353CC}">
                <c16:uniqueId val="{00000001-F476-2F4C-8F4A-05AEC3201536}"/>
              </c:ext>
            </c:extLst>
          </c:dPt>
          <c:dLbls>
            <c:spPr>
              <a:noFill/>
              <a:ln w="25400">
                <a:noFill/>
              </a:ln>
            </c:spPr>
            <c:txPr>
              <a:bodyPr wrap="square" lIns="38100" tIns="19050" rIns="38100" bIns="19050" anchor="ctr">
                <a:spAutoFit/>
              </a:bodyPr>
              <a:lstStyle/>
              <a:p>
                <a:pPr>
                  <a:defRPr sz="875" b="1" i="0" u="none" strike="noStrike" baseline="0">
                    <a:solidFill>
                      <a:srgbClr val="000000"/>
                    </a:solidFill>
                    <a:latin typeface="Arial Narrow"/>
                    <a:ea typeface="Arial Narrow"/>
                    <a:cs typeface="Arial Narrow"/>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GRAPHS!$A$70:$A$71</c:f>
              <c:strCache>
                <c:ptCount val="0"/>
              </c:strCache>
            </c:strRef>
          </c:cat>
          <c:val>
            <c:numRef>
              <c:f>GRAPHS!$B$70:$B$71</c:f>
              <c:numCache>
                <c:formatCode>0%</c:formatCode>
                <c:ptCount val="0"/>
              </c:numCache>
            </c:numRef>
          </c:val>
          <c:extLst>
            <c:ext xmlns:c16="http://schemas.microsoft.com/office/drawing/2014/chart" uri="{C3380CC4-5D6E-409C-BE32-E72D297353CC}">
              <c16:uniqueId val="{00000002-F476-2F4C-8F4A-05AEC3201536}"/>
            </c:ext>
          </c:extLst>
        </c:ser>
        <c:dLbls>
          <c:showLegendKey val="0"/>
          <c:showVal val="0"/>
          <c:showCatName val="0"/>
          <c:showSerName val="0"/>
          <c:showPercent val="0"/>
          <c:showBubbleSize val="0"/>
        </c:dLbls>
        <c:gapWidth val="100"/>
        <c:axId val="257134464"/>
        <c:axId val="1"/>
      </c:barChart>
      <c:catAx>
        <c:axId val="257134464"/>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noMultiLvlLbl val="0"/>
      </c:catAx>
      <c:valAx>
        <c:axId val="1"/>
        <c:scaling>
          <c:orientation val="minMax"/>
        </c:scaling>
        <c:delete val="0"/>
        <c:axPos val="l"/>
        <c:majorGridlines>
          <c:spPr>
            <a:ln w="3175">
              <a:solidFill>
                <a:srgbClr val="808080"/>
              </a:solidFill>
              <a:prstDash val="solid"/>
            </a:ln>
          </c:spPr>
        </c:majorGridlines>
        <c:numFmt formatCode="0%" sourceLinked="1"/>
        <c:majorTickMark val="out"/>
        <c:minorTickMark val="none"/>
        <c:tickLblPos val="nextTo"/>
        <c:spPr>
          <a:ln w="3175">
            <a:solidFill>
              <a:srgbClr val="80808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257134464"/>
        <c:crosses val="autoZero"/>
        <c:crossBetween val="between"/>
      </c:valAx>
      <c:spPr>
        <a:solidFill>
          <a:srgbClr val="FFFFFF"/>
        </a:solidFill>
        <a:ln w="25400">
          <a:noFill/>
        </a:ln>
      </c:spPr>
    </c:plotArea>
    <c:legend>
      <c:legendPos val="r"/>
      <c:layout>
        <c:manualLayout>
          <c:xMode val="edge"/>
          <c:yMode val="edge"/>
          <c:x val="3.4783635741184531E-2"/>
          <c:y val="0.84764941882264722"/>
          <c:w val="0.38696850393700782"/>
          <c:h val="5.7144731908511437E-2"/>
        </c:manualLayout>
      </c:layout>
      <c:overlay val="0"/>
      <c:spPr>
        <a:solidFill>
          <a:srgbClr val="FFFFFF"/>
        </a:solidFill>
        <a:ln w="25400">
          <a:noFill/>
        </a:ln>
      </c:spPr>
      <c:txPr>
        <a:bodyPr/>
        <a:lstStyle/>
        <a:p>
          <a:pPr>
            <a:defRPr sz="365" b="1" i="0" u="none" strike="noStrike" baseline="0">
              <a:solidFill>
                <a:srgbClr val="000000"/>
              </a:solidFill>
              <a:latin typeface="Arial Narrow"/>
              <a:ea typeface="Arial Narrow"/>
              <a:cs typeface="Arial Narrow"/>
            </a:defRPr>
          </a:pPr>
          <a:endParaRPr lang="zh-TW"/>
        </a:p>
      </c:txPr>
    </c:legend>
    <c:plotVisOnly val="1"/>
    <c:dispBlanksAs val="zero"/>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Microsoft JhengHei" panose="020B0604030504040204" pitchFamily="34" charset="-120"/>
                <a:ea typeface="Microsoft JhengHei" panose="020B0604030504040204" pitchFamily="34" charset="-120"/>
                <a:cs typeface="Arial Narrow"/>
              </a:defRPr>
            </a:pPr>
            <a:r>
              <a:rPr lang="en-US" altLang="zh-TW" sz="1200" b="1" i="0" u="none" strike="noStrike" baseline="0">
                <a:solidFill>
                  <a:srgbClr val="000000"/>
                </a:solidFill>
                <a:latin typeface="Microsoft JhengHei" panose="020B0604030504040204" pitchFamily="34" charset="-120"/>
                <a:ea typeface="Microsoft JhengHei" panose="020B0604030504040204" pitchFamily="34" charset="-120"/>
                <a:cs typeface="Calibri" charset="0"/>
              </a:rPr>
              <a:t>Fish Size </a:t>
            </a:r>
            <a:r>
              <a:rPr lang="zh-TW" altLang="en-US" sz="1200" b="1" i="0" u="none" strike="noStrike" baseline="0">
                <a:solidFill>
                  <a:srgbClr val="000000"/>
                </a:solidFill>
                <a:latin typeface="Microsoft JhengHei" panose="020B0604030504040204" pitchFamily="34" charset="-120"/>
                <a:ea typeface="Microsoft JhengHei" panose="020B0604030504040204" pitchFamily="34" charset="-120"/>
                <a:cs typeface="Calibri" charset="0"/>
              </a:rPr>
              <a:t>at </a:t>
            </a:r>
            <a:r>
              <a:rPr lang="zh-TW" altLang="en-US" sz="1200" b="1" i="0" u="none" strike="noStrike" baseline="0">
                <a:solidFill>
                  <a:srgbClr val="0000FF"/>
                </a:solidFill>
                <a:latin typeface="Microsoft JhengHei" panose="020B0604030504040204" pitchFamily="34" charset="-120"/>
                <a:ea typeface="Microsoft JhengHei" panose="020B0604030504040204" pitchFamily="34" charset="-120"/>
                <a:cs typeface="Arial Narrow" charset="0"/>
              </a:rPr>
              <a:t>&lt;&lt; RC Reef name, depth and date&gt;&gt; </a:t>
            </a:r>
          </a:p>
        </c:rich>
      </c:tx>
      <c:layout>
        <c:manualLayout>
          <c:xMode val="edge"/>
          <c:yMode val="edge"/>
          <c:x val="0.26509664459589094"/>
          <c:y val="3.1250023167110855E-2"/>
        </c:manualLayout>
      </c:layout>
      <c:overlay val="0"/>
      <c:spPr>
        <a:noFill/>
        <a:ln w="25400">
          <a:noFill/>
        </a:ln>
      </c:spPr>
    </c:title>
    <c:autoTitleDeleted val="0"/>
    <c:plotArea>
      <c:layout>
        <c:manualLayout>
          <c:layoutTarget val="inner"/>
          <c:xMode val="edge"/>
          <c:yMode val="edge"/>
          <c:x val="0.15531914893617021"/>
          <c:y val="0.29166765566560759"/>
          <c:w val="0.83617021276595749"/>
          <c:h val="0.50694616341879417"/>
        </c:manualLayout>
      </c:layout>
      <c:barChart>
        <c:barDir val="col"/>
        <c:grouping val="clustered"/>
        <c:varyColors val="0"/>
        <c:ser>
          <c:idx val="0"/>
          <c:order val="0"/>
          <c:spPr>
            <a:solidFill>
              <a:srgbClr val="FF0000"/>
            </a:solidFill>
            <a:ln w="12700">
              <a:solidFill>
                <a:srgbClr val="000000"/>
              </a:solidFill>
              <a:prstDash val="solid"/>
            </a:ln>
            <a:effectLst>
              <a:outerShdw dist="35921" dir="2700000" algn="br">
                <a:srgbClr val="000000"/>
              </a:outerShdw>
            </a:effectLst>
          </c:spPr>
          <c:invertIfNegative val="0"/>
          <c:errBars>
            <c:errBarType val="both"/>
            <c:errValType val="cust"/>
            <c:noEndCap val="0"/>
            <c:plus>
              <c:numRef>
                <c:f>GRAPHS!$C$18:$C$22</c:f>
                <c:numCache>
                  <c:formatCode>General</c:formatCode>
                  <c:ptCount val="0"/>
                </c:numCache>
              </c:numRef>
            </c:plus>
            <c:minus>
              <c:numRef>
                <c:f>GRAPHS!$C$18:$C$22</c:f>
                <c:numCache>
                  <c:formatCode>General</c:formatCode>
                  <c:ptCount val="0"/>
                </c:numCache>
              </c:numRef>
            </c:minus>
            <c:spPr>
              <a:ln w="12700">
                <a:solidFill>
                  <a:srgbClr val="000000"/>
                </a:solidFill>
                <a:prstDash val="solid"/>
              </a:ln>
            </c:spPr>
          </c:errBars>
          <c:cat>
            <c:strRef>
              <c:f>GRAPHS!$A$18:$A$27</c:f>
              <c:strCache>
                <c:ptCount val="0"/>
              </c:strCache>
            </c:strRef>
          </c:cat>
          <c:val>
            <c:numRef>
              <c:f>GRAPHS!$B$18:$B$27</c:f>
              <c:numCache>
                <c:formatCode>General</c:formatCode>
                <c:ptCount val="0"/>
              </c:numCache>
            </c:numRef>
          </c:val>
          <c:extLst>
            <c:ext xmlns:c16="http://schemas.microsoft.com/office/drawing/2014/chart" uri="{C3380CC4-5D6E-409C-BE32-E72D297353CC}">
              <c16:uniqueId val="{00000000-FB02-A74A-8416-CF9C244138B9}"/>
            </c:ext>
          </c:extLst>
        </c:ser>
        <c:dLbls>
          <c:showLegendKey val="0"/>
          <c:showVal val="0"/>
          <c:showCatName val="0"/>
          <c:showSerName val="0"/>
          <c:showPercent val="0"/>
          <c:showBubbleSize val="0"/>
        </c:dLbls>
        <c:gapWidth val="150"/>
        <c:axId val="257076288"/>
        <c:axId val="1"/>
      </c:barChart>
      <c:catAx>
        <c:axId val="257076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1800000" vert="horz"/>
          <a:lstStyle/>
          <a:p>
            <a:pPr>
              <a:defRPr sz="900"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en-US" altLang="zh-TW"/>
                  <a:t>Mean Abundance +- SE</a:t>
                </a:r>
              </a:p>
            </c:rich>
          </c:tx>
          <c:layout>
            <c:manualLayout>
              <c:xMode val="edge"/>
              <c:yMode val="edge"/>
              <c:x val="3.8297880675363341E-2"/>
              <c:y val="0.319445522798022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25707628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zh-TW" altLang="en-US" sz="1200" b="0" i="0" u="none" strike="noStrike" baseline="0">
                <a:solidFill>
                  <a:srgbClr val="000000"/>
                </a:solidFill>
                <a:latin typeface="Calibri" charset="0"/>
                <a:cs typeface="Calibri" charset="0"/>
              </a:rPr>
              <a:t>Mean Abundance Of Invertebrates For </a:t>
            </a:r>
            <a:r>
              <a:rPr lang="zh-TW" altLang="en-US" sz="1050" b="1" i="0" u="none" strike="noStrike" baseline="0">
                <a:solidFill>
                  <a:srgbClr val="0000FF"/>
                </a:solidFill>
                <a:latin typeface="Arial Narrow" charset="0"/>
                <a:cs typeface="Arial Narrow" charset="0"/>
              </a:rPr>
              <a:t>&lt;&lt; RC Reef name, depth and date&gt;&gt;</a:t>
            </a:r>
          </a:p>
        </c:rich>
      </c:tx>
      <c:layout>
        <c:manualLayout>
          <c:xMode val="edge"/>
          <c:yMode val="edge"/>
          <c:x val="0.2012065474252554"/>
          <c:y val="6.2419817592311813E-2"/>
        </c:manualLayout>
      </c:layout>
      <c:overlay val="0"/>
      <c:spPr>
        <a:noFill/>
        <a:ln w="25400">
          <a:noFill/>
        </a:ln>
      </c:spPr>
    </c:title>
    <c:autoTitleDeleted val="0"/>
    <c:plotArea>
      <c:layout>
        <c:manualLayout>
          <c:layoutTarget val="inner"/>
          <c:xMode val="edge"/>
          <c:yMode val="edge"/>
          <c:x val="0.16015078898375595"/>
          <c:y val="0.18072280660260936"/>
          <c:w val="0.78688664561746791"/>
          <c:h val="0.56937307324895181"/>
        </c:manualLayout>
      </c:layout>
      <c:barChart>
        <c:barDir val="col"/>
        <c:grouping val="clustered"/>
        <c:varyColors val="0"/>
        <c:ser>
          <c:idx val="0"/>
          <c:order val="0"/>
          <c:spPr>
            <a:solidFill>
              <a:srgbClr val="8080FF"/>
            </a:solidFill>
            <a:ln w="12700">
              <a:solidFill>
                <a:srgbClr val="000000"/>
              </a:solidFill>
              <a:prstDash val="solid"/>
            </a:ln>
          </c:spPr>
          <c:invertIfNegative val="0"/>
          <c:dPt>
            <c:idx val="0"/>
            <c:invertIfNegative val="0"/>
            <c:bubble3D val="0"/>
            <c:spPr>
              <a:solidFill>
                <a:srgbClr val="FF0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0-84DE-1A4F-9BB2-135779A20325}"/>
              </c:ext>
            </c:extLst>
          </c:dPt>
          <c:dPt>
            <c:idx val="1"/>
            <c:invertIfNegative val="0"/>
            <c:bubble3D val="0"/>
            <c:spPr>
              <a:solidFill>
                <a:srgbClr val="000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1-84DE-1A4F-9BB2-135779A20325}"/>
              </c:ext>
            </c:extLst>
          </c:dPt>
          <c:dPt>
            <c:idx val="2"/>
            <c:invertIfNegative val="0"/>
            <c:bubble3D val="0"/>
            <c:spPr>
              <a:solidFill>
                <a:srgbClr val="996666"/>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2-84DE-1A4F-9BB2-135779A20325}"/>
              </c:ext>
            </c:extLst>
          </c:dPt>
          <c:dPt>
            <c:idx val="3"/>
            <c:invertIfNegative val="0"/>
            <c:bubble3D val="0"/>
            <c:spPr>
              <a:solidFill>
                <a:srgbClr val="80008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3-84DE-1A4F-9BB2-135779A20325}"/>
              </c:ext>
            </c:extLst>
          </c:dPt>
          <c:dPt>
            <c:idx val="4"/>
            <c:invertIfNegative val="0"/>
            <c:bubble3D val="0"/>
            <c:spPr>
              <a:solidFill>
                <a:srgbClr val="6633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4-84DE-1A4F-9BB2-135779A20325}"/>
              </c:ext>
            </c:extLst>
          </c:dPt>
          <c:dPt>
            <c:idx val="5"/>
            <c:invertIfNegative val="0"/>
            <c:bubble3D val="0"/>
            <c:spPr>
              <a:solidFill>
                <a:srgbClr val="008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5-84DE-1A4F-9BB2-135779A20325}"/>
              </c:ext>
            </c:extLst>
          </c:dPt>
          <c:dPt>
            <c:idx val="6"/>
            <c:invertIfNegative val="0"/>
            <c:bubble3D val="0"/>
            <c:spPr>
              <a:solidFill>
                <a:srgbClr val="CC9CCC"/>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6-84DE-1A4F-9BB2-135779A20325}"/>
              </c:ext>
            </c:extLst>
          </c:dPt>
          <c:dPt>
            <c:idx val="7"/>
            <c:invertIfNegative val="0"/>
            <c:bubble3D val="0"/>
            <c:spPr>
              <a:solidFill>
                <a:srgbClr val="3333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7-84DE-1A4F-9BB2-135779A20325}"/>
              </c:ext>
            </c:extLst>
          </c:dPt>
          <c:dPt>
            <c:idx val="8"/>
            <c:invertIfNegative val="0"/>
            <c:bubble3D val="0"/>
            <c:spPr>
              <a:solidFill>
                <a:srgbClr val="800000"/>
              </a:solidFill>
              <a:ln w="12700">
                <a:solidFill>
                  <a:srgbClr val="000000"/>
                </a:solidFill>
                <a:prstDash val="solid"/>
              </a:ln>
              <a:effectLst>
                <a:outerShdw dist="35921" dir="2700000" algn="br">
                  <a:srgbClr val="000000"/>
                </a:outerShdw>
              </a:effectLst>
            </c:spPr>
            <c:extLst>
              <c:ext xmlns:c16="http://schemas.microsoft.com/office/drawing/2014/chart" uri="{C3380CC4-5D6E-409C-BE32-E72D297353CC}">
                <c16:uniqueId val="{00000008-84DE-1A4F-9BB2-135779A20325}"/>
              </c:ext>
            </c:extLst>
          </c:dPt>
          <c:errBars>
            <c:errBarType val="both"/>
            <c:errValType val="cust"/>
            <c:noEndCap val="0"/>
            <c:plus>
              <c:numRef>
                <c:f>GRAPHS!$C$35:$C$44</c:f>
                <c:numCache>
                  <c:formatCode>General</c:formatCode>
                  <c:ptCount val="0"/>
                </c:numCache>
              </c:numRef>
            </c:plus>
            <c:minus>
              <c:numRef>
                <c:f>GRAPHS!$C$35:$C$44</c:f>
                <c:numCache>
                  <c:formatCode>General</c:formatCode>
                  <c:ptCount val="0"/>
                </c:numCache>
              </c:numRef>
            </c:minus>
            <c:spPr>
              <a:ln w="12700">
                <a:solidFill>
                  <a:srgbClr val="000000"/>
                </a:solidFill>
                <a:prstDash val="solid"/>
              </a:ln>
            </c:spPr>
          </c:errBars>
          <c:cat>
            <c:strRef>
              <c:f>GRAPHS!$A$35:$A$44</c:f>
              <c:strCache>
                <c:ptCount val="0"/>
              </c:strCache>
            </c:strRef>
          </c:cat>
          <c:val>
            <c:numRef>
              <c:f>GRAPHS!$B$35:$B$44</c:f>
              <c:numCache>
                <c:formatCode>General</c:formatCode>
                <c:ptCount val="0"/>
              </c:numCache>
            </c:numRef>
          </c:val>
          <c:extLst>
            <c:ext xmlns:c16="http://schemas.microsoft.com/office/drawing/2014/chart" uri="{C3380CC4-5D6E-409C-BE32-E72D297353CC}">
              <c16:uniqueId val="{00000009-84DE-1A4F-9BB2-135779A20325}"/>
            </c:ext>
          </c:extLst>
        </c:ser>
        <c:dLbls>
          <c:showLegendKey val="0"/>
          <c:showVal val="0"/>
          <c:showCatName val="0"/>
          <c:showSerName val="0"/>
          <c:showPercent val="0"/>
          <c:showBubbleSize val="0"/>
        </c:dLbls>
        <c:gapWidth val="150"/>
        <c:axId val="257471424"/>
        <c:axId val="1"/>
      </c:barChart>
      <c:catAx>
        <c:axId val="25747142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FFFFFF"/>
              </a:solidFill>
              <a:prstDash val="solid"/>
            </a:ln>
          </c:spPr>
        </c:majorGridlines>
        <c:title>
          <c:tx>
            <c:rich>
              <a:bodyPr/>
              <a:lstStyle/>
              <a:p>
                <a:pPr>
                  <a:defRPr sz="900" b="1" i="0" u="none" strike="noStrike" baseline="0">
                    <a:solidFill>
                      <a:srgbClr val="000000"/>
                    </a:solidFill>
                    <a:latin typeface="Arial Narrow"/>
                    <a:ea typeface="Arial Narrow"/>
                    <a:cs typeface="Arial Narrow"/>
                  </a:defRPr>
                </a:pPr>
                <a:r>
                  <a:rPr lang="en-US" altLang="zh-TW"/>
                  <a:t>Mean Abundance +- SE</a:t>
                </a:r>
              </a:p>
            </c:rich>
          </c:tx>
          <c:layout>
            <c:manualLayout>
              <c:xMode val="edge"/>
              <c:yMode val="edge"/>
              <c:x val="4.0072864026325067E-2"/>
              <c:y val="0.2108433231560340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Narrow"/>
                <a:ea typeface="Arial Narrow"/>
                <a:cs typeface="Arial Narrow"/>
              </a:defRPr>
            </a:pPr>
            <a:endParaRPr lang="zh-TW"/>
          </a:p>
        </c:txPr>
        <c:crossAx val="25747142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Calibri"/>
                <a:ea typeface="Calibri"/>
                <a:cs typeface="Calibri"/>
              </a:defRPr>
            </a:pPr>
            <a:r>
              <a:rPr lang="en-US" altLang="zh-TW"/>
              <a:t>Mean Size Class for Giant Clams at &lt;&lt; RC Reef name, depth and date&gt;&gt;</a:t>
            </a:r>
          </a:p>
        </c:rich>
      </c:tx>
      <c:layout>
        <c:manualLayout>
          <c:xMode val="edge"/>
          <c:yMode val="edge"/>
          <c:x val="0.13034212598425199"/>
          <c:y val="3.74150005442868E-2"/>
        </c:manualLayout>
      </c:layout>
      <c:overlay val="0"/>
      <c:spPr>
        <a:noFill/>
        <a:ln w="25400">
          <a:noFill/>
        </a:ln>
      </c:spPr>
    </c:title>
    <c:autoTitleDeleted val="0"/>
    <c:plotArea>
      <c:layout>
        <c:manualLayout>
          <c:layoutTarget val="inner"/>
          <c:xMode val="edge"/>
          <c:yMode val="edge"/>
          <c:x val="0.14529944849143733"/>
          <c:y val="0.24149740080716148"/>
          <c:w val="0.82265128925299069"/>
          <c:h val="0.571430469515537"/>
        </c:manualLayout>
      </c:layout>
      <c:barChart>
        <c:barDir val="col"/>
        <c:grouping val="clustered"/>
        <c:varyColors val="0"/>
        <c:ser>
          <c:idx val="0"/>
          <c:order val="0"/>
          <c:spPr>
            <a:solidFill>
              <a:srgbClr val="CC9CCC"/>
            </a:solidFill>
            <a:ln w="12700">
              <a:solidFill>
                <a:srgbClr val="000000"/>
              </a:solidFill>
              <a:prstDash val="solid"/>
            </a:ln>
            <a:effectLst>
              <a:outerShdw dist="35921" dir="2700000" algn="br">
                <a:srgbClr val="000000"/>
              </a:outerShdw>
            </a:effectLst>
          </c:spPr>
          <c:invertIfNegative val="0"/>
          <c:errBars>
            <c:errBarType val="both"/>
            <c:errValType val="cust"/>
            <c:noEndCap val="0"/>
            <c:plus>
              <c:numRef>
                <c:f>GRAPHS!$C$47:$C$52</c:f>
                <c:numCache>
                  <c:formatCode>General</c:formatCode>
                  <c:ptCount val="0"/>
                </c:numCache>
              </c:numRef>
            </c:plus>
            <c:minus>
              <c:numRef>
                <c:f>GRAPHS!$C$47:$C$52</c:f>
                <c:numCache>
                  <c:formatCode>General</c:formatCode>
                  <c:ptCount val="0"/>
                </c:numCache>
              </c:numRef>
            </c:minus>
            <c:spPr>
              <a:ln w="12700">
                <a:solidFill>
                  <a:srgbClr val="000000"/>
                </a:solidFill>
                <a:prstDash val="solid"/>
              </a:ln>
            </c:spPr>
          </c:errBars>
          <c:cat>
            <c:strRef>
              <c:f>GRAPHS!$A$47:$A$52</c:f>
              <c:strCache>
                <c:ptCount val="0"/>
              </c:strCache>
            </c:strRef>
          </c:cat>
          <c:val>
            <c:numRef>
              <c:f>GRAPHS!$B$47:$B$52</c:f>
              <c:numCache>
                <c:formatCode>General</c:formatCode>
                <c:ptCount val="0"/>
              </c:numCache>
            </c:numRef>
          </c:val>
          <c:extLst>
            <c:ext xmlns:c16="http://schemas.microsoft.com/office/drawing/2014/chart" uri="{C3380CC4-5D6E-409C-BE32-E72D297353CC}">
              <c16:uniqueId val="{00000000-6667-CA43-B428-AFF1E44BBAAE}"/>
            </c:ext>
          </c:extLst>
        </c:ser>
        <c:dLbls>
          <c:showLegendKey val="0"/>
          <c:showVal val="0"/>
          <c:showCatName val="0"/>
          <c:showSerName val="0"/>
          <c:showPercent val="0"/>
          <c:showBubbleSize val="0"/>
        </c:dLbls>
        <c:gapWidth val="150"/>
        <c:axId val="257661024"/>
        <c:axId val="1"/>
      </c:barChart>
      <c:catAx>
        <c:axId val="257661024"/>
        <c:scaling>
          <c:orientation val="minMax"/>
        </c:scaling>
        <c:delete val="0"/>
        <c:axPos val="b"/>
        <c:title>
          <c:tx>
            <c:rich>
              <a:bodyPr/>
              <a:lstStyle/>
              <a:p>
                <a:pPr>
                  <a:defRPr sz="875" b="1" i="0" u="none" strike="noStrike" baseline="0">
                    <a:solidFill>
                      <a:srgbClr val="000000"/>
                    </a:solidFill>
                    <a:latin typeface="Arial Narrow"/>
                    <a:ea typeface="Arial Narrow"/>
                    <a:cs typeface="Arial Narrow"/>
                  </a:defRPr>
                </a:pPr>
                <a:r>
                  <a:rPr lang="en-US" altLang="zh-TW"/>
                  <a:t>Size Classes (cm)</a:t>
                </a:r>
              </a:p>
            </c:rich>
          </c:tx>
          <c:layout>
            <c:manualLayout>
              <c:xMode val="edge"/>
              <c:yMode val="edge"/>
              <c:x val="0.46581279527559055"/>
              <c:y val="0.897962190210094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en-US" altLang="zh-TW"/>
                  <a:t>Mean Abundance +- SE</a:t>
                </a:r>
              </a:p>
            </c:rich>
          </c:tx>
          <c:layout>
            <c:manualLayout>
              <c:xMode val="edge"/>
              <c:yMode val="edge"/>
              <c:x val="3.6324803149606295E-2"/>
              <c:y val="0.3401371602743205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zh-TW"/>
          </a:p>
        </c:txPr>
        <c:crossAx val="25766102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zh-TW"/>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292100</xdr:colOff>
      <xdr:row>8</xdr:row>
      <xdr:rowOff>63500</xdr:rowOff>
    </xdr:from>
    <xdr:to>
      <xdr:col>10</xdr:col>
      <xdr:colOff>990600</xdr:colOff>
      <xdr:row>28</xdr:row>
      <xdr:rowOff>0</xdr:rowOff>
    </xdr:to>
    <xdr:graphicFrame macro="">
      <xdr:nvGraphicFramePr>
        <xdr:cNvPr id="1835" name="Chart 1">
          <a:extLst>
            <a:ext uri="{FF2B5EF4-FFF2-40B4-BE49-F238E27FC236}">
              <a16:creationId xmlns:a16="http://schemas.microsoft.com/office/drawing/2014/main" id="{92B1F66D-E470-340B-6EF8-8BDE58E2C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xdr:col>
      <xdr:colOff>228600</xdr:colOff>
      <xdr:row>82</xdr:row>
      <xdr:rowOff>4233</xdr:rowOff>
    </xdr:from>
    <xdr:to>
      <xdr:col>9</xdr:col>
      <xdr:colOff>774700</xdr:colOff>
      <xdr:row>85</xdr:row>
      <xdr:rowOff>423333</xdr:rowOff>
    </xdr:to>
    <xdr:graphicFrame macro="">
      <xdr:nvGraphicFramePr>
        <xdr:cNvPr id="1836" name="Chart 3">
          <a:extLst>
            <a:ext uri="{FF2B5EF4-FFF2-40B4-BE49-F238E27FC236}">
              <a16:creationId xmlns:a16="http://schemas.microsoft.com/office/drawing/2014/main" id="{9696F5BE-E493-A727-D43C-0ECD9509A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4</xdr:col>
      <xdr:colOff>169333</xdr:colOff>
      <xdr:row>85</xdr:row>
      <xdr:rowOff>558800</xdr:rowOff>
    </xdr:from>
    <xdr:to>
      <xdr:col>7</xdr:col>
      <xdr:colOff>702733</xdr:colOff>
      <xdr:row>93</xdr:row>
      <xdr:rowOff>270933</xdr:rowOff>
    </xdr:to>
    <xdr:graphicFrame macro="">
      <xdr:nvGraphicFramePr>
        <xdr:cNvPr id="1837" name="Chart 4">
          <a:extLst>
            <a:ext uri="{FF2B5EF4-FFF2-40B4-BE49-F238E27FC236}">
              <a16:creationId xmlns:a16="http://schemas.microsoft.com/office/drawing/2014/main" id="{ED1FF3E6-AF20-46A6-ADDE-D5616340B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7</xdr:col>
      <xdr:colOff>533400</xdr:colOff>
      <xdr:row>85</xdr:row>
      <xdr:rowOff>474133</xdr:rowOff>
    </xdr:from>
    <xdr:to>
      <xdr:col>10</xdr:col>
      <xdr:colOff>901700</xdr:colOff>
      <xdr:row>93</xdr:row>
      <xdr:rowOff>186266</xdr:rowOff>
    </xdr:to>
    <xdr:graphicFrame macro="">
      <xdr:nvGraphicFramePr>
        <xdr:cNvPr id="1838" name="Chart 5">
          <a:extLst>
            <a:ext uri="{FF2B5EF4-FFF2-40B4-BE49-F238E27FC236}">
              <a16:creationId xmlns:a16="http://schemas.microsoft.com/office/drawing/2014/main" id="{EF5363DB-48C6-ABAF-2171-0C555E93E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5</xdr:col>
      <xdr:colOff>503767</xdr:colOff>
      <xdr:row>92</xdr:row>
      <xdr:rowOff>372534</xdr:rowOff>
    </xdr:from>
    <xdr:to>
      <xdr:col>9</xdr:col>
      <xdr:colOff>122767</xdr:colOff>
      <xdr:row>102</xdr:row>
      <xdr:rowOff>118534</xdr:rowOff>
    </xdr:to>
    <xdr:graphicFrame macro="">
      <xdr:nvGraphicFramePr>
        <xdr:cNvPr id="1839" name="Chart 6">
          <a:extLst>
            <a:ext uri="{FF2B5EF4-FFF2-40B4-BE49-F238E27FC236}">
              <a16:creationId xmlns:a16="http://schemas.microsoft.com/office/drawing/2014/main" id="{4AC281DA-5199-F950-01A9-08586588B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182734</xdr:colOff>
      <xdr:row>27</xdr:row>
      <xdr:rowOff>0</xdr:rowOff>
    </xdr:from>
    <xdr:to>
      <xdr:col>10</xdr:col>
      <xdr:colOff>1059856</xdr:colOff>
      <xdr:row>44</xdr:row>
      <xdr:rowOff>40110</xdr:rowOff>
    </xdr:to>
    <xdr:graphicFrame macro="">
      <xdr:nvGraphicFramePr>
        <xdr:cNvPr id="1840" name="Chart 7">
          <a:extLst>
            <a:ext uri="{FF2B5EF4-FFF2-40B4-BE49-F238E27FC236}">
              <a16:creationId xmlns:a16="http://schemas.microsoft.com/office/drawing/2014/main" id="{3BAA72F1-E318-7FBD-6915-C8DE7EBA9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4</xdr:col>
      <xdr:colOff>188148</xdr:colOff>
      <xdr:row>50</xdr:row>
      <xdr:rowOff>62716</xdr:rowOff>
    </xdr:from>
    <xdr:to>
      <xdr:col>10</xdr:col>
      <xdr:colOff>870437</xdr:colOff>
      <xdr:row>68</xdr:row>
      <xdr:rowOff>176389</xdr:rowOff>
    </xdr:to>
    <xdr:graphicFrame macro="">
      <xdr:nvGraphicFramePr>
        <xdr:cNvPr id="1841" name="Chart -1023">
          <a:extLst>
            <a:ext uri="{FF2B5EF4-FFF2-40B4-BE49-F238E27FC236}">
              <a16:creationId xmlns:a16="http://schemas.microsoft.com/office/drawing/2014/main" id="{92B90E2E-DD03-6604-FB07-D55591284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4</xdr:col>
      <xdr:colOff>273344</xdr:colOff>
      <xdr:row>71</xdr:row>
      <xdr:rowOff>155330</xdr:rowOff>
    </xdr:from>
    <xdr:to>
      <xdr:col>10</xdr:col>
      <xdr:colOff>400344</xdr:colOff>
      <xdr:row>78</xdr:row>
      <xdr:rowOff>352473</xdr:rowOff>
    </xdr:to>
    <xdr:graphicFrame macro="">
      <xdr:nvGraphicFramePr>
        <xdr:cNvPr id="1842" name="Chart -1022">
          <a:extLst>
            <a:ext uri="{FF2B5EF4-FFF2-40B4-BE49-F238E27FC236}">
              <a16:creationId xmlns:a16="http://schemas.microsoft.com/office/drawing/2014/main" id="{3FF8B2DF-DD87-6B74-07CC-8E10DAF7B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0.80028</cdr:x>
      <cdr:y>0.11488</cdr:y>
    </cdr:from>
    <cdr:to>
      <cdr:x>1</cdr:x>
      <cdr:y>0.29942</cdr:y>
    </cdr:to>
    <cdr:sp macro="" textlink="">
      <cdr:nvSpPr>
        <cdr:cNvPr id="2" name="Text Box -1023"/>
        <cdr:cNvSpPr txBox="1">
          <a:spLocks xmlns:a="http://schemas.openxmlformats.org/drawingml/2006/main" noChangeArrowheads="1"/>
        </cdr:cNvSpPr>
      </cdr:nvSpPr>
      <cdr:spPr bwMode="auto">
        <a:xfrm xmlns:a="http://schemas.openxmlformats.org/drawingml/2006/main">
          <a:off x="3093110" y="258234"/>
          <a:ext cx="771924" cy="41483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0" bIns="0" anchor="t" upright="1"/>
        <a:lstStyle xmlns:a="http://schemas.openxmlformats.org/drawingml/2006/main"/>
        <a:p xmlns:a="http://schemas.openxmlformats.org/drawingml/2006/main">
          <a:pPr algn="l" rtl="0">
            <a:lnSpc>
              <a:spcPts val="700"/>
            </a:lnSpc>
            <a:defRPr sz="1000"/>
          </a:pPr>
          <a:r>
            <a:rPr lang="en-US" sz="875" b="0" i="0" u="none" strike="noStrike" baseline="0">
              <a:solidFill>
                <a:srgbClr val="000000"/>
              </a:solidFill>
              <a:latin typeface="Arial Narrow"/>
            </a:rPr>
            <a:t>0 = None</a:t>
          </a:r>
        </a:p>
        <a:p xmlns:a="http://schemas.openxmlformats.org/drawingml/2006/main">
          <a:pPr algn="l" rtl="0">
            <a:lnSpc>
              <a:spcPts val="700"/>
            </a:lnSpc>
            <a:defRPr sz="1000"/>
          </a:pPr>
          <a:r>
            <a:rPr lang="en-US" sz="875" b="0" i="0" u="none" strike="noStrike" baseline="0">
              <a:solidFill>
                <a:srgbClr val="000000"/>
              </a:solidFill>
              <a:latin typeface="Arial Narrow"/>
            </a:rPr>
            <a:t>1 = Low</a:t>
          </a:r>
        </a:p>
        <a:p xmlns:a="http://schemas.openxmlformats.org/drawingml/2006/main">
          <a:pPr algn="l" rtl="0">
            <a:lnSpc>
              <a:spcPts val="700"/>
            </a:lnSpc>
            <a:defRPr sz="1000"/>
          </a:pPr>
          <a:r>
            <a:rPr lang="en-US" sz="875" b="0" i="0" u="none" strike="noStrike" baseline="0">
              <a:solidFill>
                <a:srgbClr val="000000"/>
              </a:solidFill>
              <a:latin typeface="Arial Narrow"/>
            </a:rPr>
            <a:t>2 = Medium</a:t>
          </a:r>
        </a:p>
        <a:p xmlns:a="http://schemas.openxmlformats.org/drawingml/2006/main">
          <a:pPr algn="l" rtl="0">
            <a:lnSpc>
              <a:spcPts val="900"/>
            </a:lnSpc>
            <a:defRPr sz="1000"/>
          </a:pPr>
          <a:r>
            <a:rPr lang="en-US" sz="875" b="0" i="0" u="none" strike="noStrike" baseline="0">
              <a:solidFill>
                <a:srgbClr val="000000"/>
              </a:solidFill>
              <a:latin typeface="Arial Narrow"/>
            </a:rPr>
            <a:t>3 = High</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pageSetUpPr fitToPage="1"/>
  </sheetPr>
  <dimension ref="A1:BT141"/>
  <sheetViews>
    <sheetView topLeftCell="A8" zoomScale="166" zoomScaleNormal="116" workbookViewId="0">
      <selection activeCell="J3" sqref="J3"/>
    </sheetView>
  </sheetViews>
  <sheetFormatPr baseColWidth="10" defaultColWidth="11.5" defaultRowHeight="16"/>
  <cols>
    <col min="1" max="1" width="27.5" style="116" customWidth="1"/>
    <col min="2" max="3" width="8.6640625" style="116" customWidth="1"/>
    <col min="4" max="4" width="8.83203125" style="116" customWidth="1"/>
    <col min="5" max="5" width="8.1640625" style="116" customWidth="1"/>
    <col min="6" max="6" width="7.33203125" style="116" customWidth="1"/>
    <col min="7" max="7" width="8.33203125" style="116" customWidth="1"/>
    <col min="8" max="8" width="11.83203125" style="116" customWidth="1"/>
    <col min="9" max="9" width="10.6640625" style="116" customWidth="1"/>
    <col min="10" max="10" width="28" style="115" customWidth="1"/>
    <col min="11" max="50" width="11.5" style="115" customWidth="1"/>
    <col min="51" max="16384" width="11.5" style="116"/>
  </cols>
  <sheetData>
    <row r="1" spans="1:17" ht="33" customHeight="1">
      <c r="A1" s="215" t="s">
        <v>279</v>
      </c>
      <c r="B1" s="275"/>
      <c r="C1" s="275"/>
      <c r="D1" s="275"/>
      <c r="E1" s="282" t="s">
        <v>280</v>
      </c>
      <c r="F1" s="283"/>
      <c r="G1" s="275" t="s">
        <v>281</v>
      </c>
      <c r="H1" s="275"/>
      <c r="I1" s="276"/>
    </row>
    <row r="2" spans="1:17" ht="32.25" customHeight="1">
      <c r="A2" s="189" t="s">
        <v>282</v>
      </c>
      <c r="B2" s="278"/>
      <c r="C2" s="278"/>
      <c r="D2" s="278"/>
      <c r="E2" s="269" t="s">
        <v>283</v>
      </c>
      <c r="F2" s="284"/>
      <c r="G2" s="278"/>
      <c r="H2" s="278"/>
      <c r="I2" s="279"/>
    </row>
    <row r="3" spans="1:17" ht="30.75" customHeight="1">
      <c r="A3" s="189" t="s">
        <v>284</v>
      </c>
      <c r="B3" s="281"/>
      <c r="C3" s="281"/>
      <c r="D3" s="281"/>
      <c r="E3" s="269" t="s">
        <v>285</v>
      </c>
      <c r="F3" s="284"/>
      <c r="G3" s="277"/>
      <c r="H3" s="278"/>
      <c r="I3" s="279"/>
    </row>
    <row r="4" spans="1:17" ht="40" customHeight="1">
      <c r="A4" s="189" t="s">
        <v>286</v>
      </c>
      <c r="B4" s="280"/>
      <c r="C4" s="280"/>
      <c r="D4" s="280"/>
      <c r="E4" s="269" t="s">
        <v>287</v>
      </c>
      <c r="F4" s="269"/>
      <c r="G4" s="396"/>
      <c r="H4" s="221" t="s">
        <v>288</v>
      </c>
      <c r="I4" s="397"/>
    </row>
    <row r="5" spans="1:17" ht="18">
      <c r="A5" s="288" t="s">
        <v>289</v>
      </c>
      <c r="B5" s="289"/>
      <c r="C5" s="289"/>
      <c r="D5" s="289"/>
      <c r="E5" s="289"/>
      <c r="F5" s="289"/>
      <c r="G5" s="289"/>
      <c r="H5" s="289"/>
      <c r="I5" s="289"/>
      <c r="J5" s="177"/>
    </row>
    <row r="6" spans="1:17" ht="5.25" customHeight="1" thickBot="1">
      <c r="A6" s="118"/>
      <c r="B6" s="119"/>
      <c r="C6" s="119"/>
      <c r="D6" s="119"/>
      <c r="E6" s="119"/>
      <c r="F6" s="119"/>
      <c r="G6" s="119"/>
      <c r="H6" s="119"/>
      <c r="I6" s="120"/>
    </row>
    <row r="7" spans="1:17" ht="35" customHeight="1" thickBot="1">
      <c r="A7" s="121" t="s">
        <v>290</v>
      </c>
      <c r="B7" s="261"/>
      <c r="C7" s="262"/>
      <c r="D7" s="262"/>
      <c r="E7" s="263"/>
      <c r="F7" s="262"/>
      <c r="G7" s="262"/>
      <c r="H7" s="264"/>
      <c r="I7" s="122"/>
    </row>
    <row r="8" spans="1:17" ht="28" customHeight="1" thickBot="1">
      <c r="A8" s="123"/>
      <c r="B8" s="285" t="s">
        <v>291</v>
      </c>
      <c r="C8" s="286"/>
      <c r="D8" s="287"/>
      <c r="E8" s="175"/>
      <c r="F8" s="124"/>
      <c r="G8" s="124"/>
      <c r="H8" s="124"/>
      <c r="I8" s="122"/>
      <c r="J8" s="115" t="s">
        <v>292</v>
      </c>
    </row>
    <row r="9" spans="1:17" ht="17.25" customHeight="1" thickBot="1">
      <c r="A9" s="125" t="s">
        <v>293</v>
      </c>
      <c r="B9" s="126" t="s">
        <v>7</v>
      </c>
      <c r="C9" s="127" t="s">
        <v>8</v>
      </c>
      <c r="D9" s="127" t="s">
        <v>9</v>
      </c>
      <c r="E9" s="128" t="s">
        <v>10</v>
      </c>
      <c r="F9" s="124" t="s">
        <v>294</v>
      </c>
      <c r="G9" s="124" t="s">
        <v>295</v>
      </c>
      <c r="H9" s="124" t="s">
        <v>296</v>
      </c>
      <c r="I9" s="129"/>
      <c r="J9" s="228" t="s">
        <v>293</v>
      </c>
      <c r="K9" s="224" t="s">
        <v>7</v>
      </c>
      <c r="L9" s="225" t="s">
        <v>8</v>
      </c>
      <c r="M9" s="225" t="s">
        <v>9</v>
      </c>
      <c r="N9" s="226" t="s">
        <v>10</v>
      </c>
      <c r="O9" s="205" t="s">
        <v>297</v>
      </c>
      <c r="P9" s="114" t="s">
        <v>298</v>
      </c>
      <c r="Q9" s="206" t="s">
        <v>299</v>
      </c>
    </row>
    <row r="10" spans="1:17" ht="17.25" customHeight="1">
      <c r="A10" s="130" t="s">
        <v>300</v>
      </c>
      <c r="B10" s="161"/>
      <c r="C10" s="162"/>
      <c r="D10" s="162"/>
      <c r="E10" s="163"/>
      <c r="F10" s="124">
        <f>SUM(B10:C10:D10:E10)</f>
      </c>
      <c r="G10" s="124">
        <f>AVERAGE(B10:C10:D10:E10)</f>
      </c>
      <c r="H10" s="124">
        <f>STDEV(B10:C10:D10:E10)</f>
      </c>
      <c r="I10" s="122"/>
      <c r="J10" s="216" t="s">
        <v>301</v>
      </c>
      <c r="K10" s="235">
        <f>SUM(B10:B11)</f>
      </c>
      <c r="L10" s="236">
        <f>SUM(C10:C11)</f>
      </c>
      <c r="M10" s="236">
        <f>SUM(D10:D11)</f>
      </c>
      <c r="N10" s="237">
        <f>SUM(E10:E11)</f>
      </c>
      <c r="O10" s="182">
        <f>SUM(K10:N10)</f>
      </c>
      <c r="P10" s="182">
        <f>AVERAGE(K10:N10)</f>
      </c>
      <c r="Q10" s="208">
        <f>STDEV(K10:N10)</f>
      </c>
    </row>
    <row r="11" spans="1:17" ht="17.25" customHeight="1" thickBot="1">
      <c r="A11" s="246" t="s">
        <v>302</v>
      </c>
      <c r="B11" s="166"/>
      <c r="C11" s="167"/>
      <c r="D11" s="167"/>
      <c r="E11" s="168"/>
      <c r="F11" s="124">
        <f>SUM(B11:C11:D11:E11)</f>
      </c>
      <c r="G11" s="124">
        <f>AVERAGE(B11:C11:D11:E11)</f>
      </c>
      <c r="H11" s="124">
        <f>STDEV(B11:C11:D11:E11)</f>
      </c>
      <c r="I11" s="122"/>
      <c r="J11" s="216" t="s">
        <v>303</v>
      </c>
      <c r="K11" s="238">
        <f>SUM(B12:B13)</f>
      </c>
      <c r="L11" s="239">
        <f>SUM(C12:C13)</f>
      </c>
      <c r="M11" s="239">
        <f>SUM(D12:D13)</f>
      </c>
      <c r="N11" s="240">
        <f>SUM(E12:E13)</f>
      </c>
      <c r="O11" s="182">
        <f>SUM(K11:N11)</f>
      </c>
      <c r="P11" s="182">
        <f>AVERAGE(K11:N11)</f>
      </c>
      <c r="Q11" s="208">
        <f>STDEV(K11:N11)</f>
      </c>
    </row>
    <row r="12" spans="1:17" ht="17.25" customHeight="1">
      <c r="A12" s="130" t="s">
        <v>303</v>
      </c>
      <c r="B12" s="161"/>
      <c r="C12" s="162"/>
      <c r="D12" s="162"/>
      <c r="E12" s="163"/>
      <c r="F12" s="124">
        <f>SUM(B12:C12:D12:E12)</f>
      </c>
      <c r="G12" s="124">
        <f>AVERAGE(B12:C12:D12:E12)</f>
      </c>
      <c r="H12" s="124">
        <f>STDEV(B12:C12:D12:E12)</f>
      </c>
      <c r="I12" s="122"/>
      <c r="J12" s="216" t="s">
        <v>304</v>
      </c>
      <c r="K12" s="238">
        <f>SUM(B14:B15)</f>
      </c>
      <c r="L12" s="239">
        <f>SUM(C14:C15)</f>
      </c>
      <c r="M12" s="239">
        <f>SUM(D14:D15)</f>
      </c>
      <c r="N12" s="240">
        <f>SUM(E14:E15)</f>
      </c>
      <c r="O12" s="182">
        <f>SUM(K12:N12)</f>
      </c>
      <c r="P12" s="182">
        <f>AVERAGE(K12:N12)</f>
      </c>
      <c r="Q12" s="208">
        <f>STDEV(K12:N12)</f>
      </c>
    </row>
    <row r="13" spans="1:17" ht="17.25" customHeight="1" thickBot="1">
      <c r="A13" s="246" t="s">
        <v>305</v>
      </c>
      <c r="B13" s="166"/>
      <c r="C13" s="167"/>
      <c r="D13" s="167"/>
      <c r="E13" s="168"/>
      <c r="F13" s="124">
        <f>SUM(B13:C13:D13:E13)</f>
      </c>
      <c r="G13" s="124">
        <f>AVERAGE(B13:C13:D13:E13)</f>
      </c>
      <c r="H13" s="124">
        <f>STDEV(B13:C13:D13:E13)</f>
      </c>
      <c r="I13" s="122"/>
      <c r="J13" s="188" t="s">
        <v>306</v>
      </c>
      <c r="K13" s="238">
        <f>B16</f>
      </c>
      <c r="L13" s="239">
        <f>C16</f>
      </c>
      <c r="M13" s="239">
        <f>D16</f>
      </c>
      <c r="N13" s="240">
        <f>E16</f>
      </c>
      <c r="O13" s="182">
        <f>SUM(K13:N13)</f>
      </c>
      <c r="P13" s="182">
        <f>AVERAGE(K13:N13)</f>
      </c>
      <c r="Q13" s="208">
        <f>STDEV(K13:N13)</f>
      </c>
    </row>
    <row r="14" spans="1:17" ht="17.25" customHeight="1">
      <c r="A14" s="130" t="s">
        <v>307</v>
      </c>
      <c r="B14" s="161"/>
      <c r="C14" s="162"/>
      <c r="D14" s="162"/>
      <c r="E14" s="163"/>
      <c r="F14" s="124">
        <f>SUM(B14:C14:D14:E14)</f>
      </c>
      <c r="G14" s="124">
        <f>AVERAGE(B14:C14:D14:E14)</f>
      </c>
      <c r="H14" s="124">
        <f>STDEV(B14:C14:D14:E14)</f>
      </c>
      <c r="I14" s="122"/>
      <c r="J14" s="229" t="s">
        <v>308</v>
      </c>
      <c r="K14" s="231">
        <f>SUM(B24:B27)</f>
      </c>
      <c r="L14" s="232">
        <f>SUM(C24:C27)</f>
      </c>
      <c r="M14" s="232">
        <f>SUM(D24:D27)</f>
      </c>
      <c r="N14" s="233">
        <f>SUM(E24:E27)</f>
      </c>
      <c r="O14" s="234">
        <f>SUM(K14:N14)</f>
      </c>
      <c r="P14" s="234">
        <f>AVERAGE(K14:N14)</f>
      </c>
      <c r="Q14" s="208">
        <f>STDEV(K14:N14)</f>
      </c>
    </row>
    <row r="15" spans="1:17" ht="17.25" customHeight="1" thickBot="1">
      <c r="A15" s="246" t="s">
        <v>309</v>
      </c>
      <c r="B15" s="166"/>
      <c r="C15" s="167"/>
      <c r="D15" s="167"/>
      <c r="E15" s="168"/>
      <c r="F15" s="124">
        <f>SUM(B15:C15:D15:E15)</f>
      </c>
      <c r="G15" s="124">
        <f>AVERAGE(B15:C15:D15:E15)</f>
      </c>
      <c r="H15" s="124">
        <f>STDEV(B15:C15:D15:E15)</f>
      </c>
      <c r="I15" s="122"/>
      <c r="J15" s="216" t="s">
        <v>310</v>
      </c>
      <c r="K15" s="238">
        <f>B17</f>
      </c>
      <c r="L15" s="239">
        <f>C17</f>
      </c>
      <c r="M15" s="239">
        <f>D17</f>
      </c>
      <c r="N15" s="240">
        <f>E17</f>
      </c>
      <c r="O15" s="182">
        <f>SUM(K15:N15)</f>
      </c>
      <c r="P15" s="182">
        <f>AVERAGE(K15:N15)</f>
      </c>
      <c r="Q15" s="208">
        <f>STDEV(K15:N15)</f>
      </c>
    </row>
    <row r="16" spans="1:17" ht="17.25" customHeight="1">
      <c r="A16" s="117" t="s">
        <v>306</v>
      </c>
      <c r="B16" s="169"/>
      <c r="C16" s="170"/>
      <c r="D16" s="170"/>
      <c r="E16" s="171"/>
      <c r="F16" s="124">
        <f>SUM(B16:C16:D16:E16)</f>
      </c>
      <c r="G16" s="124">
        <f>AVERAGE(B16:C16:D16:E16)</f>
      </c>
      <c r="H16" s="124">
        <f>STDEV(B16:C16:D16:E16)</f>
      </c>
      <c r="I16" s="122"/>
      <c r="J16" s="216" t="s">
        <v>311</v>
      </c>
      <c r="K16" s="238">
        <f>B18</f>
      </c>
      <c r="L16" s="239">
        <f>C18</f>
      </c>
      <c r="M16" s="239">
        <f>D18</f>
      </c>
      <c r="N16" s="240">
        <f>E18</f>
      </c>
      <c r="O16" s="182">
        <f>SUM(K16:N16)</f>
      </c>
      <c r="P16" s="182">
        <f>AVERAGE(K16:N16)</f>
      </c>
      <c r="Q16" s="208">
        <f>STDEV(K16:N16)</f>
      </c>
    </row>
    <row r="17" spans="1:19" ht="17.25" customHeight="1">
      <c r="A17" s="130" t="s">
        <v>310</v>
      </c>
      <c r="B17" s="164"/>
      <c r="C17" s="160"/>
      <c r="D17" s="160"/>
      <c r="E17" s="165"/>
      <c r="F17" s="124">
        <f>SUM(B17:C17:D17:E17)</f>
      </c>
      <c r="G17" s="124">
        <f>AVERAGE(B17:C17:D17:E17)</f>
      </c>
      <c r="H17" s="124">
        <f>STDEV(B17:C17:D17:E17)</f>
      </c>
      <c r="I17" s="122"/>
      <c r="J17" s="216" t="s">
        <v>312</v>
      </c>
      <c r="K17" s="238">
        <f>B19</f>
      </c>
      <c r="L17" s="239">
        <f>C19</f>
      </c>
      <c r="M17" s="239">
        <f>D19</f>
      </c>
      <c r="N17" s="240">
        <f>E19</f>
      </c>
      <c r="O17" s="182">
        <f>SUM(K17:N17)</f>
      </c>
      <c r="P17" s="182">
        <f>AVERAGE(K17:N17)</f>
      </c>
      <c r="Q17" s="208">
        <f>STDEV(K17:N17)</f>
      </c>
    </row>
    <row r="18" spans="1:19" ht="17.25" customHeight="1" thickBot="1">
      <c r="A18" s="246" t="s">
        <v>311</v>
      </c>
      <c r="B18" s="166"/>
      <c r="C18" s="167"/>
      <c r="D18" s="167"/>
      <c r="E18" s="168"/>
      <c r="F18" s="124">
        <f>SUM(B18:C18:D18:E18)</f>
      </c>
      <c r="G18" s="124">
        <f>AVERAGE(B18:C18:D18:E18)</f>
      </c>
      <c r="H18" s="124">
        <f>STDEV(B18:C18:D18:E18)</f>
      </c>
      <c r="I18" s="122"/>
      <c r="J18" s="227" t="s">
        <v>313</v>
      </c>
      <c r="K18" s="241">
        <f>B21</f>
      </c>
      <c r="L18" s="242">
        <f>C21</f>
      </c>
      <c r="M18" s="242">
        <f>D21</f>
      </c>
      <c r="N18" s="243">
        <f>E21</f>
      </c>
      <c r="O18" s="244">
        <f>SUM(K18:N18)</f>
      </c>
      <c r="P18" s="244">
        <f>AVERAGE(K18:N18)</f>
      </c>
      <c r="Q18" s="245">
        <f>STDEV(K18:N18)</f>
      </c>
    </row>
    <row r="19" spans="1:19" ht="17.25" customHeight="1">
      <c r="A19" s="130" t="s">
        <v>314</v>
      </c>
      <c r="B19" s="161"/>
      <c r="C19" s="162"/>
      <c r="D19" s="162"/>
      <c r="E19" s="163"/>
      <c r="F19" s="124">
        <f>SUM(B19:C19:D19:E19)</f>
      </c>
      <c r="G19" s="124">
        <f>AVERAGE(B19:C19:D19:E19)</f>
      </c>
      <c r="H19" s="124">
        <f>STDEV(B19:C19:D19:E19)</f>
      </c>
      <c r="I19" s="122"/>
      <c r="J19" s="136"/>
      <c r="K19" s="136"/>
      <c r="L19" s="136"/>
      <c r="M19" s="136"/>
      <c r="N19" s="136"/>
      <c r="O19" s="136"/>
      <c r="P19" s="136"/>
      <c r="Q19" s="136"/>
      <c r="R19" s="136"/>
      <c r="S19" s="136"/>
    </row>
    <row r="20" spans="1:19" ht="17.25" customHeight="1" thickBot="1">
      <c r="A20" s="246" t="s">
        <v>315</v>
      </c>
      <c r="B20" s="166"/>
      <c r="C20" s="167"/>
      <c r="D20" s="167"/>
      <c r="E20" s="168"/>
      <c r="F20" s="124">
        <f>SUM(B20:C20:D20:E20)</f>
      </c>
      <c r="G20" s="124">
        <f>AVERAGE(B20:C20:D20:E20)</f>
      </c>
      <c r="H20" s="124">
        <f>STDEV(B20:C20:D20:E20)</f>
      </c>
      <c r="I20" s="122"/>
      <c r="J20" s="141"/>
      <c r="K20" s="141"/>
      <c r="L20" s="141"/>
      <c r="M20" s="141"/>
      <c r="N20" s="141"/>
      <c r="O20" s="141"/>
      <c r="P20" s="141"/>
      <c r="Q20" s="141"/>
      <c r="R20" s="141"/>
      <c r="S20" s="141"/>
    </row>
    <row r="21" spans="1:19" ht="17.25" customHeight="1" thickBot="1">
      <c r="A21" s="130" t="s">
        <v>313</v>
      </c>
      <c r="B21" s="172"/>
      <c r="C21" s="173"/>
      <c r="D21" s="173"/>
      <c r="E21" s="174"/>
      <c r="F21" s="124">
        <f>SUM(B21:C21:D21:E21)</f>
      </c>
      <c r="G21" s="124">
        <f>AVERAGE(B21:C21:D21:E21)</f>
      </c>
      <c r="H21" s="124">
        <f>STDEV(B21:C21:D21:E21)</f>
      </c>
      <c r="I21" s="122"/>
      <c r="J21" s="136"/>
      <c r="K21" s="136"/>
      <c r="L21" s="136"/>
      <c r="M21" s="136"/>
      <c r="N21" s="136"/>
      <c r="O21" s="136"/>
      <c r="P21" s="136"/>
      <c r="Q21" s="136"/>
      <c r="R21" s="136"/>
      <c r="S21" s="136"/>
    </row>
    <row r="22" spans="1:19" ht="18" customHeight="1" thickBot="1">
      <c r="A22" s="216"/>
      <c r="B22" s="124"/>
      <c r="C22" s="124"/>
      <c r="D22" s="124"/>
      <c r="E22" s="124"/>
      <c r="F22" s="124"/>
      <c r="G22" s="124"/>
      <c r="H22" s="124"/>
      <c r="I22" s="122"/>
      <c r="J22" s="136"/>
      <c r="K22" s="136"/>
      <c r="L22" s="136"/>
      <c r="M22" s="136"/>
      <c r="N22" s="136"/>
      <c r="O22" s="136"/>
      <c r="P22" s="136"/>
      <c r="Q22" s="136"/>
      <c r="R22" s="136"/>
      <c r="S22" s="136"/>
    </row>
    <row r="23" spans="1:19" ht="17.25" customHeight="1" thickBot="1">
      <c r="A23" s="216" t="s">
        <v>316</v>
      </c>
      <c r="B23" s="256"/>
      <c r="C23" s="256"/>
      <c r="D23" s="256"/>
      <c r="E23" s="256"/>
      <c r="F23" s="124">
        <f>SUM(B23:C23:D23:E23)</f>
      </c>
      <c r="G23" s="124">
        <f>AVERAGE(B23:C23:D23:E23)</f>
      </c>
      <c r="H23" s="124">
        <f>STDEV(B23:C23:D23:E23)</f>
      </c>
      <c r="I23" s="122"/>
      <c r="J23" s="136"/>
      <c r="K23" s="136"/>
      <c r="L23" s="136"/>
      <c r="M23" s="136"/>
      <c r="N23" s="136"/>
      <c r="O23" s="136"/>
      <c r="P23" s="136"/>
      <c r="Q23" s="136"/>
      <c r="R23" s="136"/>
      <c r="S23" s="136"/>
    </row>
    <row r="24" spans="1:19" ht="17.25" customHeight="1" thickBot="1">
      <c r="A24" s="199" t="s">
        <v>317</v>
      </c>
      <c r="B24" s="131"/>
      <c r="C24" s="131"/>
      <c r="D24" s="131"/>
      <c r="E24" s="132"/>
      <c r="F24" s="124">
        <f>SUM(B24:C24:D24:E24)</f>
      </c>
      <c r="G24" s="124">
        <f>AVERAGE(B24:C24:D24:E24)</f>
      </c>
      <c r="H24" s="124">
        <f>STDEV(B24:C24:D24:E24)</f>
      </c>
      <c r="I24" s="122"/>
      <c r="J24" s="136"/>
      <c r="K24" s="136"/>
      <c r="L24" s="136"/>
      <c r="M24" s="136"/>
      <c r="N24" s="136"/>
      <c r="O24" s="136"/>
      <c r="P24" s="136"/>
      <c r="Q24" s="136"/>
      <c r="R24" s="136"/>
      <c r="S24" s="136"/>
    </row>
    <row r="25" spans="1:19" ht="17.25" customHeight="1" thickBot="1">
      <c r="A25" s="199" t="s">
        <v>318</v>
      </c>
      <c r="B25" s="131"/>
      <c r="C25" s="131"/>
      <c r="D25" s="131"/>
      <c r="E25" s="132"/>
      <c r="F25" s="124">
        <f>SUM(B25:C25:D25:E25)</f>
      </c>
      <c r="G25" s="124">
        <f>AVERAGE(B25:C25:D25:E25)</f>
      </c>
      <c r="H25" s="124">
        <f>STDEV(B25:C25:D25:E25)</f>
      </c>
      <c r="I25" s="122"/>
      <c r="J25" s="136"/>
      <c r="K25" s="136"/>
      <c r="L25" s="136"/>
      <c r="M25" s="136"/>
      <c r="N25" s="136"/>
      <c r="O25" s="136"/>
      <c r="P25" s="136"/>
      <c r="Q25" s="136"/>
      <c r="R25" s="136"/>
      <c r="S25" s="136"/>
    </row>
    <row r="26" spans="1:19" ht="17.25" customHeight="1" thickBot="1">
      <c r="A26" s="199" t="s">
        <v>319</v>
      </c>
      <c r="B26" s="131"/>
      <c r="C26" s="131"/>
      <c r="D26" s="131"/>
      <c r="E26" s="132"/>
      <c r="F26" s="124">
        <f>SUM(B26:C26:D26:E26)</f>
      </c>
      <c r="G26" s="124">
        <f>AVERAGE(B26:C26:D26:E26)</f>
      </c>
      <c r="H26" s="124">
        <f>STDEV(B26:C26:D26:E26)</f>
      </c>
      <c r="I26" s="122"/>
      <c r="J26" s="136"/>
      <c r="K26" s="136"/>
      <c r="L26" s="136"/>
      <c r="M26" s="136"/>
      <c r="N26" s="136"/>
      <c r="O26" s="136"/>
      <c r="P26" s="136"/>
      <c r="Q26" s="136"/>
      <c r="R26" s="136"/>
      <c r="S26" s="136"/>
    </row>
    <row r="27" spans="1:19" ht="17.25" customHeight="1" thickBot="1">
      <c r="A27" s="199" t="s">
        <v>320</v>
      </c>
      <c r="B27" s="133"/>
      <c r="C27" s="133"/>
      <c r="D27" s="133"/>
      <c r="E27" s="134"/>
      <c r="F27" s="124">
        <f>SUM(B27:C27:D27:E27)</f>
      </c>
      <c r="G27" s="124">
        <f>AVERAGE(B27:C27:D27:E27)</f>
      </c>
      <c r="H27" s="124">
        <f>STDEV(B27:C27:D27:E27)</f>
      </c>
      <c r="I27" s="122"/>
    </row>
    <row r="28" spans="1:19" ht="17.25" customHeight="1">
      <c r="A28" s="199" t="s">
        <v>321</v>
      </c>
      <c r="B28" s="124">
        <f>SUM(B23:B27)</f>
      </c>
      <c r="C28" s="124">
        <f>SUM(C23:C27)</f>
      </c>
      <c r="D28" s="124">
        <f>SUM(D23:D27)</f>
      </c>
      <c r="E28" s="124">
        <f>SUM(E23:E27)</f>
      </c>
      <c r="F28" s="124">
        <f>SUM(B28:C28:D28:E28)</f>
      </c>
      <c r="G28" s="124">
        <f>AVERAGE(B28:C28:D28:E28)</f>
      </c>
      <c r="H28" s="124">
        <f>STDEV(B28:C28:D28:E28)</f>
      </c>
      <c r="I28" s="122"/>
    </row>
    <row r="29" spans="1:19" ht="20" customHeight="1" thickBot="1">
      <c r="A29" s="130"/>
      <c r="B29" s="124"/>
      <c r="C29" s="124"/>
      <c r="D29" s="124"/>
      <c r="E29" s="124"/>
      <c r="F29" s="124"/>
      <c r="G29" s="124"/>
      <c r="H29" s="124"/>
      <c r="I29" s="122"/>
    </row>
    <row r="30" spans="1:19" ht="35.25" customHeight="1" thickBot="1">
      <c r="A30" s="121" t="s">
        <v>290</v>
      </c>
      <c r="B30" s="261"/>
      <c r="C30" s="262"/>
      <c r="D30" s="262"/>
      <c r="E30" s="263"/>
      <c r="F30" s="262"/>
      <c r="G30" s="262"/>
      <c r="H30" s="264"/>
      <c r="I30" s="122"/>
    </row>
    <row r="31" spans="1:19" ht="7.5" customHeight="1" thickBot="1">
      <c r="A31" s="123"/>
      <c r="B31" s="124"/>
      <c r="C31" s="124"/>
      <c r="D31" s="124"/>
      <c r="E31" s="124"/>
      <c r="F31" s="124"/>
      <c r="G31" s="124"/>
      <c r="H31" s="124"/>
      <c r="I31" s="122"/>
    </row>
    <row r="32" spans="1:19" ht="17.25" customHeight="1" thickBot="1">
      <c r="A32" s="125" t="s">
        <v>322</v>
      </c>
      <c r="B32" s="126" t="s">
        <v>7</v>
      </c>
      <c r="C32" s="127" t="s">
        <v>8</v>
      </c>
      <c r="D32" s="127" t="s">
        <v>9</v>
      </c>
      <c r="E32" s="128" t="s">
        <v>10</v>
      </c>
      <c r="F32" s="124" t="s">
        <v>323</v>
      </c>
      <c r="G32" s="124" t="s">
        <v>219</v>
      </c>
      <c r="H32" s="124" t="s">
        <v>159</v>
      </c>
      <c r="I32" s="122"/>
    </row>
    <row r="33" spans="1:72" ht="17.25" customHeight="1" thickBot="1">
      <c r="A33" s="188" t="s">
        <v>324</v>
      </c>
      <c r="B33" s="131"/>
      <c r="C33" s="131"/>
      <c r="D33" s="131"/>
      <c r="E33" s="132"/>
      <c r="F33" s="124">
        <f>SUM(B33:C33:D33:E33)</f>
      </c>
      <c r="G33" s="124">
        <f>AVERAGE(B33:C33:D33:E33)</f>
      </c>
      <c r="H33" s="124">
        <f>STDEV(B33:C33:D33:E33)</f>
      </c>
      <c r="I33" s="122"/>
    </row>
    <row r="34" spans="1:72" ht="17.25" customHeight="1" thickBot="1">
      <c r="A34" s="217" t="s">
        <v>325</v>
      </c>
      <c r="B34" s="131"/>
      <c r="C34" s="131"/>
      <c r="D34" s="131"/>
      <c r="E34" s="132"/>
      <c r="F34" s="124">
        <f>SUM(B34:C34:D34:E34)</f>
      </c>
      <c r="G34" s="124">
        <f>AVERAGE(B34:C34:D34:E34)</f>
      </c>
      <c r="H34" s="124">
        <f>STDEV(B34:C34:D34:E34)</f>
      </c>
      <c r="I34" s="122"/>
    </row>
    <row r="35" spans="1:72" ht="17.25" customHeight="1" thickBot="1">
      <c r="A35" s="216" t="s">
        <v>326</v>
      </c>
      <c r="B35" s="131"/>
      <c r="C35" s="131"/>
      <c r="D35" s="131"/>
      <c r="E35" s="132"/>
      <c r="F35" s="124">
        <f>SUM(B35:C35:D35:E35)</f>
      </c>
      <c r="G35" s="124">
        <f>AVERAGE(B35:C35:D35:E35)</f>
      </c>
      <c r="H35" s="124">
        <f>STDEV(B35:C35:D35:E35)</f>
      </c>
      <c r="I35" s="122"/>
    </row>
    <row r="36" spans="1:72" ht="17.25" customHeight="1" thickBot="1">
      <c r="A36" s="188" t="s">
        <v>327</v>
      </c>
      <c r="B36" s="131"/>
      <c r="C36" s="131"/>
      <c r="D36" s="131"/>
      <c r="E36" s="132"/>
      <c r="F36" s="124">
        <f>SUM(B36:C36:D36:E36)</f>
      </c>
      <c r="G36" s="124">
        <f>AVERAGE(B36:C36:D36:E36)</f>
      </c>
      <c r="H36" s="124">
        <f>STDEV(B36:C36:D36:E36)</f>
      </c>
      <c r="I36" s="122"/>
    </row>
    <row r="37" spans="1:72" ht="17.25" customHeight="1" thickBot="1">
      <c r="A37" s="216" t="s">
        <v>328</v>
      </c>
      <c r="B37" s="131"/>
      <c r="C37" s="131"/>
      <c r="D37" s="131"/>
      <c r="E37" s="132"/>
      <c r="F37" s="124">
        <f>SUM(B37:C37:D37:E37)</f>
      </c>
      <c r="G37" s="124">
        <f>AVERAGE(B37:C37:D37:E37)</f>
      </c>
      <c r="H37" s="124">
        <f>STDEV(B37:C37:D37:E37)</f>
      </c>
      <c r="I37" s="122"/>
    </row>
    <row r="38" spans="1:72" ht="17.25" customHeight="1" thickBot="1">
      <c r="A38" s="188" t="s">
        <v>329</v>
      </c>
      <c r="B38" s="131"/>
      <c r="C38" s="131"/>
      <c r="D38" s="131"/>
      <c r="E38" s="132"/>
      <c r="F38" s="124">
        <f>SUM(B38:C38:D38:E38)</f>
      </c>
      <c r="G38" s="124">
        <f>AVERAGE(B38:C38:D38:E38)</f>
      </c>
      <c r="H38" s="124">
        <f>STDEV(B38:C38:D38:E38)</f>
      </c>
      <c r="I38" s="122"/>
    </row>
    <row r="39" spans="1:72" ht="17.25" customHeight="1" thickBot="1">
      <c r="A39" s="188" t="s">
        <v>330</v>
      </c>
      <c r="B39" s="131"/>
      <c r="C39" s="131"/>
      <c r="D39" s="131"/>
      <c r="E39" s="132"/>
      <c r="F39" s="124">
        <f>SUM(B39:C39:D39:E39)</f>
      </c>
      <c r="G39" s="124">
        <f>AVERAGE(B39:C39:D39:E39)</f>
      </c>
      <c r="H39" s="124">
        <f>STDEV(B39:C39:D39:E39)</f>
      </c>
      <c r="I39" s="122"/>
    </row>
    <row r="40" spans="1:72" ht="17.25" customHeight="1" thickBot="1">
      <c r="A40" s="188" t="s">
        <v>331</v>
      </c>
      <c r="B40" s="131"/>
      <c r="C40" s="131"/>
      <c r="D40" s="131"/>
      <c r="E40" s="132"/>
      <c r="F40" s="124">
        <f>SUM(B40:C40:D40:E40)</f>
      </c>
      <c r="G40" s="124">
        <f>AVERAGE(B40:C40:D40:E40)</f>
      </c>
      <c r="H40" s="124">
        <f>STDEV(B40:C40:D40:E40)</f>
      </c>
      <c r="I40" s="122"/>
    </row>
    <row r="41" spans="1:72" ht="17.25" customHeight="1" thickBot="1">
      <c r="A41" s="216" t="s">
        <v>332</v>
      </c>
      <c r="B41" s="133"/>
      <c r="C41" s="133"/>
      <c r="D41" s="133"/>
      <c r="E41" s="134"/>
      <c r="F41" s="124">
        <f>SUM(B41:C41:D41:E41)</f>
      </c>
      <c r="G41" s="124">
        <f>AVERAGE(B41:C41:D41:E41)</f>
      </c>
      <c r="H41" s="124">
        <f>STDEV(B41:C41:D41:E41)</f>
      </c>
      <c r="I41" s="122"/>
    </row>
    <row r="42" spans="1:72" s="137" customFormat="1" ht="9" customHeight="1">
      <c r="A42" s="199"/>
      <c r="B42" s="135"/>
      <c r="C42" s="135"/>
      <c r="D42" s="135"/>
      <c r="E42" s="135"/>
      <c r="F42" s="124"/>
      <c r="G42" s="124"/>
      <c r="H42" s="124"/>
      <c r="I42" s="122"/>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row>
    <row r="43" spans="1:72" s="142" customFormat="1" ht="17.25" customHeight="1" thickBot="1">
      <c r="A43" s="216" t="s">
        <v>333</v>
      </c>
      <c r="B43" s="138"/>
      <c r="C43" s="138"/>
      <c r="D43" s="138"/>
      <c r="E43" s="138"/>
      <c r="F43" s="139"/>
      <c r="G43" s="139"/>
      <c r="H43" s="139"/>
      <c r="I43" s="140"/>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row>
    <row r="44" spans="1:72" s="137" customFormat="1" ht="17.25" customHeight="1" thickBot="1">
      <c r="A44" s="199" t="s">
        <v>334</v>
      </c>
      <c r="B44" s="131"/>
      <c r="C44" s="131"/>
      <c r="D44" s="131"/>
      <c r="E44" s="132"/>
      <c r="F44" s="124">
        <f>SUM(B44:C44:D44:E44)</f>
      </c>
      <c r="G44" s="124">
        <f>AVERAGE(B44:C44:D44:E44)</f>
      </c>
      <c r="H44" s="124">
        <f>STDEV(B44:C44:D44:E44)</f>
      </c>
      <c r="I44" s="122"/>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row>
    <row r="45" spans="1:72" s="137" customFormat="1" ht="17.25" customHeight="1" thickBot="1">
      <c r="A45" s="199" t="s">
        <v>335</v>
      </c>
      <c r="B45" s="131"/>
      <c r="C45" s="131"/>
      <c r="D45" s="131"/>
      <c r="E45" s="132"/>
      <c r="F45" s="124">
        <f>SUM(B45:C45:D45:E45)</f>
      </c>
      <c r="G45" s="124">
        <f>AVERAGE(B45:C45:D45:E45)</f>
      </c>
      <c r="H45" s="124">
        <f>STDEV(B45:C45:D45:E45)</f>
      </c>
      <c r="I45" s="122"/>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row>
    <row r="46" spans="1:72" s="137" customFormat="1" ht="17.25" customHeight="1" thickBot="1">
      <c r="A46" s="199" t="s">
        <v>336</v>
      </c>
      <c r="B46" s="131"/>
      <c r="C46" s="131"/>
      <c r="D46" s="131"/>
      <c r="E46" s="132"/>
      <c r="F46" s="124">
        <f>SUM(B46:C46:D46:E46)</f>
      </c>
      <c r="G46" s="124">
        <f>AVERAGE(B46:C46:D46:E46)</f>
      </c>
      <c r="H46" s="124">
        <f>STDEV(B46:C46:D46:E46)</f>
      </c>
      <c r="I46" s="122"/>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row>
    <row r="47" spans="1:72" s="137" customFormat="1" ht="17.25" customHeight="1" thickBot="1">
      <c r="A47" s="199" t="s">
        <v>337</v>
      </c>
      <c r="B47" s="131"/>
      <c r="C47" s="131"/>
      <c r="D47" s="131"/>
      <c r="E47" s="132"/>
      <c r="F47" s="124">
        <f>SUM(B47:C47:D47:E47)</f>
      </c>
      <c r="G47" s="124">
        <f>AVERAGE(B47:C47:D47:E47)</f>
      </c>
      <c r="H47" s="124">
        <f>STDEV(B47:C47:D47:E47)</f>
      </c>
      <c r="I47" s="122"/>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row>
    <row r="48" spans="1:72" s="137" customFormat="1" ht="17.25" customHeight="1" thickBot="1">
      <c r="A48" s="199" t="s">
        <v>338</v>
      </c>
      <c r="B48" s="131"/>
      <c r="C48" s="131"/>
      <c r="D48" s="131"/>
      <c r="E48" s="132"/>
      <c r="F48" s="124">
        <f>SUM(B48:C48:D48:E48)</f>
      </c>
      <c r="G48" s="124">
        <f>AVERAGE(B48:C48:D48:E48)</f>
      </c>
      <c r="H48" s="124">
        <f>STDEV(B48:C48:D48:E48)</f>
      </c>
      <c r="I48" s="122"/>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row>
    <row r="49" spans="1:71" s="137" customFormat="1" ht="17.25" customHeight="1" thickBot="1">
      <c r="A49" s="199" t="s">
        <v>339</v>
      </c>
      <c r="B49" s="133"/>
      <c r="C49" s="133"/>
      <c r="D49" s="133"/>
      <c r="E49" s="134"/>
      <c r="F49" s="124">
        <f>SUM(B49:C49:D49:E49)</f>
      </c>
      <c r="G49" s="124">
        <f>AVERAGE(B49:C49:D49:E49)</f>
      </c>
      <c r="H49" s="124">
        <f>STDEV(B49:C49:D49:E49)</f>
      </c>
      <c r="I49" s="122"/>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row>
    <row r="50" spans="1:71" s="137" customFormat="1" ht="17.25" customHeight="1">
      <c r="A50" s="199" t="s">
        <v>340</v>
      </c>
      <c r="B50" s="124">
        <f>SUM(B44:B49)</f>
      </c>
      <c r="C50" s="124">
        <f>SUM(C44:C49)</f>
      </c>
      <c r="D50" s="124">
        <f>SUM(D44:D49)</f>
      </c>
      <c r="E50" s="124">
        <f>SUM(E44:E49)</f>
      </c>
      <c r="F50" s="124">
        <f>SUM(B50:C50:D50:E50)</f>
      </c>
      <c r="G50" s="124">
        <f>AVERAGE(B50:C50:D50:E50)</f>
      </c>
      <c r="H50" s="124">
        <f>STDEV(B50:C50:D50:E50)</f>
      </c>
      <c r="I50" s="122"/>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row>
    <row r="51" spans="1:71" ht="11" customHeight="1" thickBot="1">
      <c r="A51" s="130"/>
      <c r="B51" s="124"/>
      <c r="C51" s="124"/>
      <c r="D51" s="124"/>
      <c r="E51" s="124"/>
      <c r="F51" s="124"/>
      <c r="G51" s="124"/>
      <c r="H51" s="124"/>
      <c r="I51" s="122"/>
    </row>
    <row r="52" spans="1:71" s="146" customFormat="1" ht="48" customHeight="1" thickBot="1">
      <c r="A52" s="265" t="s">
        <v>341</v>
      </c>
      <c r="B52" s="266"/>
      <c r="C52" s="266"/>
      <c r="D52" s="266"/>
      <c r="E52" s="266"/>
      <c r="F52" s="266"/>
      <c r="G52" s="266"/>
      <c r="H52" s="266"/>
      <c r="I52" s="267"/>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c r="AH52" s="144"/>
      <c r="AI52" s="144"/>
      <c r="AJ52" s="144"/>
      <c r="AK52" s="144"/>
      <c r="AL52" s="144"/>
      <c r="AM52" s="144"/>
      <c r="AN52" s="144"/>
      <c r="AO52" s="144"/>
      <c r="AP52" s="144"/>
      <c r="AQ52" s="144"/>
      <c r="AR52" s="144"/>
      <c r="AS52" s="144"/>
      <c r="AT52" s="144"/>
      <c r="AU52" s="144"/>
      <c r="AV52" s="144"/>
      <c r="AW52" s="144"/>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145"/>
    </row>
    <row r="53" spans="1:71" s="146" customFormat="1" ht="33.75" customHeight="1" thickBot="1">
      <c r="A53" s="273" t="s">
        <v>342</v>
      </c>
      <c r="B53" s="274"/>
      <c r="C53" s="274"/>
      <c r="D53" s="274"/>
      <c r="E53" s="274"/>
      <c r="F53" s="274"/>
      <c r="G53" s="274"/>
      <c r="H53" s="207" t="s">
        <v>343</v>
      </c>
      <c r="I53" s="143"/>
      <c r="J53" s="191"/>
      <c r="K53" s="144"/>
      <c r="L53" s="144"/>
      <c r="M53" s="144"/>
      <c r="N53" s="144"/>
      <c r="O53" s="184" t="s">
        <v>323</v>
      </c>
      <c r="P53" s="184" t="s">
        <v>219</v>
      </c>
      <c r="Q53" s="184" t="s">
        <v>159</v>
      </c>
      <c r="R53" s="144"/>
      <c r="S53" s="144"/>
      <c r="T53" s="144"/>
      <c r="U53" s="144"/>
      <c r="V53" s="144"/>
      <c r="W53" s="144"/>
      <c r="X53" s="144"/>
      <c r="Y53" s="144"/>
      <c r="Z53" s="144"/>
      <c r="AA53" s="144"/>
      <c r="AB53" s="144"/>
      <c r="AC53" s="144"/>
      <c r="AD53" s="144"/>
      <c r="AE53" s="144"/>
      <c r="AF53" s="144"/>
      <c r="AG53" s="144"/>
      <c r="AH53" s="144"/>
      <c r="AI53" s="144"/>
      <c r="AJ53" s="144"/>
      <c r="AK53" s="144"/>
      <c r="AL53" s="144"/>
      <c r="AM53" s="144"/>
      <c r="AN53" s="144"/>
      <c r="AO53" s="144"/>
      <c r="AP53" s="144"/>
      <c r="AQ53" s="144"/>
      <c r="AR53" s="144"/>
      <c r="AS53" s="144"/>
      <c r="AT53" s="144"/>
      <c r="AU53" s="144"/>
      <c r="AV53" s="144"/>
      <c r="AW53" s="144"/>
      <c r="AX53" s="145"/>
      <c r="AY53" s="145"/>
      <c r="AZ53" s="145"/>
      <c r="BA53" s="145"/>
      <c r="BB53" s="145"/>
      <c r="BC53" s="145"/>
      <c r="BD53" s="145"/>
      <c r="BE53" s="145"/>
      <c r="BF53" s="145"/>
      <c r="BG53" s="145"/>
      <c r="BH53" s="145"/>
      <c r="BI53" s="145"/>
      <c r="BJ53" s="145"/>
      <c r="BK53" s="145"/>
      <c r="BL53" s="145"/>
      <c r="BM53" s="145"/>
      <c r="BN53" s="145"/>
      <c r="BO53" s="145"/>
      <c r="BP53" s="145"/>
      <c r="BQ53" s="145"/>
      <c r="BR53" s="145"/>
      <c r="BS53" s="145"/>
    </row>
    <row r="54" spans="1:71" ht="17.25" customHeight="1" thickBot="1">
      <c r="A54" s="147"/>
      <c r="B54" s="195" t="s">
        <v>7</v>
      </c>
      <c r="C54" s="196" t="s">
        <v>8</v>
      </c>
      <c r="D54" s="196" t="s">
        <v>9</v>
      </c>
      <c r="E54" s="194" t="s">
        <v>10</v>
      </c>
      <c r="F54" s="212" t="s">
        <v>323</v>
      </c>
      <c r="G54" s="213" t="s">
        <v>219</v>
      </c>
      <c r="H54" s="213" t="s">
        <v>159</v>
      </c>
      <c r="I54" s="214" t="s">
        <v>344</v>
      </c>
      <c r="J54" s="192" t="s">
        <v>345</v>
      </c>
      <c r="K54" s="197" t="s">
        <v>7</v>
      </c>
      <c r="L54" s="198" t="s">
        <v>8</v>
      </c>
      <c r="M54" s="198" t="s">
        <v>9</v>
      </c>
      <c r="N54" s="193" t="s">
        <v>10</v>
      </c>
      <c r="O54" s="186"/>
      <c r="P54" s="185"/>
      <c r="Q54" s="185"/>
    </row>
    <row r="55" spans="1:71" ht="50" customHeight="1" thickBot="1">
      <c r="A55" s="189" t="s">
        <v>346</v>
      </c>
      <c r="B55" s="159"/>
      <c r="C55" s="159"/>
      <c r="D55" s="159"/>
      <c r="E55" s="176"/>
      <c r="F55" s="182">
        <f>SUM(B55:C55:D55:E55)</f>
      </c>
      <c r="G55" s="182">
        <f>AVERAGE(B55:C55:D55:E55)</f>
      </c>
      <c r="H55" s="182">
        <f>STDEV(B55:C55:D55:E55)</f>
      </c>
      <c r="I55" s="208">
        <f>SUM(H55/SQRT(4))</f>
      </c>
      <c r="J55" s="189" t="s">
        <v>346</v>
      </c>
      <c r="K55" s="178">
        <f>IF(B55&lt;=0,0,IF(B55=1,1,IF(B55&lt;=4,2,IF(B55&gt;=5,3))))</f>
      </c>
      <c r="L55" s="178">
        <f>IF(C55&lt;=0,0,IF(C55=1,1,IF(C55&lt;=4,2,IF(C55&gt;=5,3))))</f>
      </c>
      <c r="M55" s="178">
        <f>IF(D55&lt;=0,0,IF(D55=1,1,IF(D55&lt;=4,2,IF(D55&gt;=5,3))))</f>
      </c>
      <c r="N55" s="179">
        <f>IF(E55&lt;=0,0,IF(E55=1,1,IF(E55&lt;=4,2,IF(E55&gt;=5,3))))</f>
      </c>
      <c r="O55" s="186">
        <f>SUM(K55:L55:M55:N55)</f>
      </c>
      <c r="P55" s="185">
        <f>AVERAGE(K55:L55:M55:N55)</f>
      </c>
      <c r="Q55" s="185">
        <f>STDEV(K55:L55:M55:N55)</f>
      </c>
    </row>
    <row r="56" spans="1:71" ht="50" customHeight="1" thickBot="1">
      <c r="A56" s="189" t="s">
        <v>347</v>
      </c>
      <c r="B56" s="159"/>
      <c r="C56" s="159"/>
      <c r="D56" s="159"/>
      <c r="E56" s="176"/>
      <c r="F56" s="182">
        <f>SUM(B56:C56:D56:E56)</f>
      </c>
      <c r="G56" s="182">
        <f>AVERAGE(B56:C56:D56:E56)</f>
      </c>
      <c r="H56" s="182">
        <f>STDEV(B56:C56:D56:E56)</f>
      </c>
      <c r="I56" s="208">
        <f>SUM(H56/SQRT(4))</f>
      </c>
      <c r="J56" s="189" t="s">
        <v>347</v>
      </c>
      <c r="K56" s="178">
        <f>IF(B56&lt;=0,0,IF(B56=1,1,IF(B56&lt;=4,2,IF(B56&gt;=5,3))))</f>
      </c>
      <c r="L56" s="178">
        <f>IF(C56&lt;=0,0,IF(C56=1,1,IF(C56&lt;=4,2,IF(C56&gt;=5,3))))</f>
      </c>
      <c r="M56" s="178">
        <f>IF(D56&lt;=0,0,IF(D56=1,1,IF(D56&lt;=4,2,IF(D56&gt;=5,3))))</f>
      </c>
      <c r="N56" s="179">
        <f>IF(E56&lt;=0,0,IF(E56=1,1,IF(E56&lt;=4,2,IF(E56&gt;=5,3))))</f>
      </c>
      <c r="O56" s="187">
        <f>SUM(K56:L56:M56:N56)</f>
      </c>
      <c r="P56" s="183">
        <f>AVERAGE(K56:L56:M56:N56)</f>
      </c>
      <c r="Q56" s="183">
        <f>STDEV(K56:L56:M56:N56)</f>
      </c>
    </row>
    <row r="57" spans="1:71" ht="50" customHeight="1" thickBot="1">
      <c r="A57" s="189" t="s">
        <v>348</v>
      </c>
      <c r="B57" s="159"/>
      <c r="C57" s="159"/>
      <c r="D57" s="159"/>
      <c r="E57" s="176"/>
      <c r="F57" s="182">
        <f>SUM(B57:C57:D57:E57)</f>
      </c>
      <c r="G57" s="182">
        <f>AVERAGE(B57:C57:D57:E57)</f>
      </c>
      <c r="H57" s="182">
        <f>STDEV(B57:C57:D57:E57)</f>
      </c>
      <c r="I57" s="208">
        <f>SUM(H57/SQRT(4))</f>
      </c>
      <c r="J57" s="189" t="s">
        <v>348</v>
      </c>
      <c r="K57" s="178">
        <f>IF(B57&lt;=0,0,IF(B57=1,1,IF(B57&lt;=4,2,IF(B57&gt;=5,3))))</f>
      </c>
      <c r="L57" s="178">
        <f>IF(C57&lt;=0,0,IF(C57=1,1,IF(C57&lt;=4,2,IF(C57&gt;=5,3))))</f>
      </c>
      <c r="M57" s="178">
        <f>IF(D57&lt;=0,0,IF(D57=1,1,IF(D57&lt;=4,2,IF(D57&gt;=5,3))))</f>
      </c>
      <c r="N57" s="179">
        <f>IF(E57&lt;=0,0,IF(E57=1,1,IF(E57&lt;=4,2,IF(E57&gt;=5,3))))</f>
      </c>
      <c r="O57" s="187">
        <f>SUM(K57:L57:M57:N57)</f>
      </c>
      <c r="P57" s="183">
        <f>AVERAGE(K57:L57:M57:N57)</f>
      </c>
      <c r="Q57" s="183">
        <f>STDEV(K57:L57:M57:N57)</f>
      </c>
    </row>
    <row r="58" spans="1:71" ht="50" customHeight="1" thickBot="1">
      <c r="A58" s="189" t="s">
        <v>349</v>
      </c>
      <c r="B58" s="159"/>
      <c r="C58" s="159"/>
      <c r="D58" s="159"/>
      <c r="E58" s="176"/>
      <c r="F58" s="182">
        <f>SUM(B58:C58:D58:E58)</f>
      </c>
      <c r="G58" s="182">
        <f>AVERAGE(B58:C58:D58:E58)</f>
      </c>
      <c r="H58" s="182">
        <f>STDEV(B58:C58:D58:E58)</f>
      </c>
      <c r="I58" s="208">
        <f>SUM(H58/SQRT(4))</f>
      </c>
      <c r="J58" s="189" t="s">
        <v>349</v>
      </c>
      <c r="K58" s="178">
        <f>IF(B58&lt;=0,0,IF(B58=1,1,IF(B58&lt;=4,2,IF(B58&gt;=5,3))))</f>
      </c>
      <c r="L58" s="178">
        <f>IF(C58&lt;=0,0,IF(C58=1,1,IF(C58&lt;=4,2,IF(C58&gt;=5,3))))</f>
      </c>
      <c r="M58" s="178">
        <f>IF(D58&lt;=0,0,IF(D58=1,1,IF(D58&lt;=4,2,IF(D58&gt;=5,3))))</f>
      </c>
      <c r="N58" s="179">
        <f>IF(E58&lt;=0,0,IF(E58=1,1,IF(E58&lt;=4,2,IF(E58&gt;=5,3))))</f>
      </c>
      <c r="O58" s="187">
        <f>SUM(K58:L58:M58:N58)</f>
      </c>
      <c r="P58" s="183">
        <f>AVERAGE(K58:L58:M58:N58)</f>
      </c>
      <c r="Q58" s="183">
        <f>STDEV(K58:L58:M58:N58)</f>
      </c>
    </row>
    <row r="59" spans="1:71" ht="50" customHeight="1" thickBot="1">
      <c r="A59" s="190" t="s">
        <v>350</v>
      </c>
      <c r="B59" s="203"/>
      <c r="C59" s="203"/>
      <c r="D59" s="203"/>
      <c r="E59" s="204"/>
      <c r="F59" s="210">
        <f>SUM(B59:C59:D59:E59)</f>
      </c>
      <c r="G59" s="209">
        <f>AVERAGE(B59:C59:D59:E59)</f>
      </c>
      <c r="H59" s="209">
        <f>STDEV(B59:C59:D59:E59)</f>
      </c>
      <c r="I59" s="211">
        <f>SUM(H59/SQRT(4))</f>
      </c>
      <c r="J59" s="190" t="s">
        <v>350</v>
      </c>
      <c r="K59" s="180">
        <f>IF(B59&lt;=0,0,IF(B59=1,1,IF(B59&lt;=4,2,IF(B59&gt;=5,3))))</f>
      </c>
      <c r="L59" s="180">
        <f>IF(C59&lt;=0,0,IF(C59=1,1,IF(C59&lt;=4,2,IF(C59&gt;=5,3))))</f>
      </c>
      <c r="M59" s="180">
        <f>IF(D59&lt;=0,0,IF(D59=1,1,IF(D59&lt;=4,2,IF(D59&gt;=5,3))))</f>
      </c>
      <c r="N59" s="181">
        <f>IF(E59&lt;=0,0,IF(E59=1,1,IF(E59&lt;=4,2,IF(E59&gt;=5,3))))</f>
      </c>
      <c r="O59" s="187">
        <f>SUM(K59:L59:M59:N59)</f>
      </c>
      <c r="P59" s="183">
        <f>AVERAGE(K59:L59:M59:N59)</f>
      </c>
      <c r="Q59" s="183">
        <f>STDEV(K59:L59:M59:N59)</f>
      </c>
    </row>
    <row r="60" spans="1:71" ht="50" customHeight="1" thickTop="1" thickBot="1">
      <c r="A60" s="268" t="s">
        <v>351</v>
      </c>
      <c r="B60" s="269"/>
      <c r="C60" s="155"/>
      <c r="D60" s="155"/>
      <c r="E60" s="155"/>
      <c r="F60" s="124" t="s">
        <v>323</v>
      </c>
      <c r="G60" s="124" t="s">
        <v>219</v>
      </c>
      <c r="H60" s="124" t="s">
        <v>159</v>
      </c>
      <c r="I60" s="122"/>
    </row>
    <row r="61" spans="1:71" ht="50" customHeight="1" thickBot="1">
      <c r="A61" s="200" t="s">
        <v>352</v>
      </c>
      <c r="B61" s="131"/>
      <c r="C61" s="131"/>
      <c r="D61" s="131"/>
      <c r="E61" s="132"/>
      <c r="F61" s="182">
        <f>SUM(B61:C61:D61:E61)</f>
      </c>
      <c r="G61" s="182">
        <f>AVERAGE(B61:C61:D61:E61)</f>
      </c>
      <c r="H61" s="182">
        <f>STDEV(B61:C61:D61:E61)</f>
      </c>
      <c r="I61" s="122"/>
    </row>
    <row r="62" spans="1:71" ht="50" customHeight="1" thickBot="1">
      <c r="A62" s="200" t="s">
        <v>353</v>
      </c>
      <c r="B62" s="131"/>
      <c r="C62" s="131"/>
      <c r="D62" s="131"/>
      <c r="E62" s="132"/>
      <c r="F62" s="182">
        <f>SUM(B62:C62:D62:E62)</f>
      </c>
      <c r="G62" s="182">
        <f>AVERAGE(B62:C62:D62:E62)</f>
      </c>
      <c r="H62" s="182">
        <f>STDEV(B62:C62:D62:E62)</f>
      </c>
      <c r="I62" s="122"/>
    </row>
    <row r="63" spans="1:71" ht="50" customHeight="1" thickBot="1">
      <c r="A63" s="200" t="s">
        <v>354</v>
      </c>
      <c r="B63" s="131"/>
      <c r="C63" s="131"/>
      <c r="D63" s="131"/>
      <c r="E63" s="132"/>
      <c r="F63" s="182">
        <f>SUM(B63:C63:D63:E63)</f>
      </c>
      <c r="G63" s="182">
        <f>AVERAGE(B63:C63:D63:E63)</f>
      </c>
      <c r="H63" s="182">
        <f>STDEV(B63:C63:D63:E63)</f>
      </c>
      <c r="I63" s="122"/>
    </row>
    <row r="64" spans="1:71" ht="50" customHeight="1" thickBot="1">
      <c r="A64" s="200" t="s">
        <v>28</v>
      </c>
      <c r="B64" s="133"/>
      <c r="C64" s="133"/>
      <c r="D64" s="133"/>
      <c r="E64" s="134"/>
      <c r="F64" s="182">
        <f>SUM(B64:C64:D64:E64)</f>
      </c>
      <c r="G64" s="182">
        <f>AVERAGE(B64:C64:D64:E64)</f>
      </c>
      <c r="H64" s="182">
        <f>STDEV(B64:C64:D64:E64)</f>
      </c>
      <c r="I64" s="122"/>
    </row>
    <row r="65" spans="1:50" ht="22" customHeight="1" thickBot="1">
      <c r="A65" s="202"/>
      <c r="B65" s="124"/>
      <c r="C65" s="124"/>
      <c r="D65" s="124"/>
      <c r="E65" s="124"/>
      <c r="F65" s="124"/>
      <c r="G65" s="124"/>
      <c r="H65" s="124"/>
      <c r="I65" s="122"/>
    </row>
    <row r="66" spans="1:50" ht="50" customHeight="1" thickBot="1">
      <c r="A66" s="201" t="s">
        <v>355</v>
      </c>
      <c r="B66" s="270"/>
      <c r="C66" s="271"/>
      <c r="D66" s="271"/>
      <c r="E66" s="271"/>
      <c r="F66" s="271"/>
      <c r="G66" s="271"/>
      <c r="H66" s="272"/>
      <c r="I66" s="156"/>
    </row>
    <row r="67" spans="1:50" ht="22" customHeight="1" thickBot="1">
      <c r="A67" s="202"/>
      <c r="B67" s="124"/>
      <c r="C67" s="124"/>
      <c r="D67" s="124"/>
      <c r="E67" s="124"/>
      <c r="F67" s="124"/>
      <c r="G67" s="124"/>
      <c r="H67" s="124"/>
      <c r="I67" s="122"/>
    </row>
    <row r="68" spans="1:50" ht="50" customHeight="1" thickBot="1">
      <c r="A68" s="117" t="s">
        <v>356</v>
      </c>
      <c r="B68" s="131"/>
      <c r="C68" s="131"/>
      <c r="D68" s="131"/>
      <c r="E68" s="132"/>
      <c r="F68" s="148"/>
      <c r="G68" s="124"/>
      <c r="H68" s="124"/>
      <c r="I68" s="122"/>
      <c r="J68" s="136"/>
      <c r="K68" s="136"/>
      <c r="L68" s="136"/>
      <c r="M68" s="136"/>
      <c r="N68" s="136"/>
      <c r="O68" s="136"/>
      <c r="P68" s="136"/>
      <c r="Q68" s="136"/>
    </row>
    <row r="69" spans="1:50" ht="50" customHeight="1" thickBot="1">
      <c r="A69" s="117" t="s">
        <v>357</v>
      </c>
      <c r="B69" s="133"/>
      <c r="C69" s="133"/>
      <c r="D69" s="133"/>
      <c r="E69" s="134"/>
      <c r="F69" s="148"/>
      <c r="G69" s="124"/>
      <c r="H69" s="124"/>
      <c r="I69" s="122"/>
      <c r="J69" s="141"/>
      <c r="K69" s="141"/>
      <c r="L69" s="141"/>
      <c r="M69" s="141"/>
      <c r="N69" s="141"/>
      <c r="O69" s="141"/>
      <c r="P69" s="141"/>
      <c r="Q69" s="141"/>
    </row>
    <row r="70" spans="1:50" ht="39.75" customHeight="1" thickBot="1">
      <c r="A70" s="290" t="s">
        <v>358</v>
      </c>
      <c r="B70" s="291"/>
      <c r="C70" s="291"/>
      <c r="D70" s="149"/>
      <c r="E70" s="149"/>
      <c r="F70" s="124"/>
      <c r="G70" s="124"/>
      <c r="H70" s="124"/>
      <c r="I70" s="122"/>
      <c r="J70" s="136"/>
      <c r="K70" s="136"/>
      <c r="L70" s="136"/>
      <c r="M70" s="136"/>
      <c r="N70" s="136"/>
      <c r="O70" s="136"/>
      <c r="P70" s="136"/>
      <c r="Q70" s="136"/>
    </row>
    <row r="71" spans="1:50" ht="17.25" customHeight="1" thickBot="1">
      <c r="A71" s="150" t="s">
        <v>359</v>
      </c>
      <c r="B71" s="151"/>
      <c r="C71" s="151"/>
      <c r="D71" s="151"/>
      <c r="E71" s="152"/>
      <c r="F71" s="148">
        <f>SUM(B71:C71:D71:E71)</f>
      </c>
      <c r="G71" s="124">
        <f>AVERAGE(B71:C71:D71:E71)</f>
      </c>
      <c r="H71" s="124">
        <f>STDEV(B71:C71:D71:E71)</f>
      </c>
      <c r="I71" s="122"/>
      <c r="J71" s="136"/>
      <c r="K71" s="136"/>
      <c r="L71" s="136"/>
      <c r="M71" s="136"/>
      <c r="N71" s="136"/>
      <c r="O71" s="136"/>
      <c r="P71" s="136"/>
      <c r="Q71" s="136"/>
    </row>
    <row r="72" spans="1:50" ht="17.25" customHeight="1" thickBot="1">
      <c r="A72" s="150" t="s">
        <v>360</v>
      </c>
      <c r="B72" s="153"/>
      <c r="C72" s="153"/>
      <c r="D72" s="153"/>
      <c r="E72" s="154"/>
      <c r="F72" s="148">
        <f>SUM(B72:C72:D72:E72)</f>
      </c>
      <c r="G72" s="124">
        <f>AVERAGE(B72:C72:D72:E72)</f>
      </c>
      <c r="H72" s="124">
        <f>STDEV(B72:C72:D72:E72)</f>
      </c>
      <c r="I72" s="122"/>
      <c r="J72" s="136"/>
      <c r="K72" s="136"/>
      <c r="L72" s="136"/>
      <c r="M72" s="136"/>
      <c r="N72" s="136"/>
      <c r="O72" s="136"/>
      <c r="P72" s="136"/>
      <c r="Q72" s="136"/>
    </row>
    <row r="73" spans="1:50" ht="17.25" customHeight="1">
      <c r="A73" s="259" t="s">
        <v>361</v>
      </c>
      <c r="B73" s="259"/>
      <c r="C73" s="259"/>
      <c r="D73" s="259"/>
      <c r="E73" s="259"/>
      <c r="F73" s="259"/>
      <c r="G73" s="259"/>
      <c r="H73" s="259"/>
      <c r="I73" s="259"/>
      <c r="J73" s="136"/>
      <c r="K73" s="136"/>
      <c r="L73" s="136"/>
      <c r="M73" s="136"/>
      <c r="N73" s="136"/>
      <c r="O73" s="136"/>
      <c r="P73" s="136"/>
      <c r="Q73" s="136"/>
    </row>
    <row r="74" spans="1:50">
      <c r="A74" s="260"/>
      <c r="B74" s="260"/>
      <c r="C74" s="260"/>
      <c r="D74" s="260"/>
      <c r="E74" s="260"/>
      <c r="F74" s="260"/>
      <c r="G74" s="260"/>
      <c r="H74" s="260"/>
      <c r="I74" s="260"/>
      <c r="J74" s="136"/>
      <c r="K74" s="136"/>
      <c r="L74" s="136"/>
      <c r="M74" s="136"/>
      <c r="N74" s="136"/>
      <c r="O74" s="136"/>
      <c r="P74" s="136"/>
      <c r="Q74" s="136"/>
    </row>
    <row r="75" spans="1:50" s="145" customFormat="1" ht="18.75" customHeight="1">
      <c r="A75" s="157" t="s">
        <v>362</v>
      </c>
      <c r="B75" s="144"/>
      <c r="C75" s="144"/>
      <c r="D75" s="157" t="s">
        <v>363</v>
      </c>
      <c r="E75" s="144"/>
      <c r="F75" s="144"/>
      <c r="G75" s="144"/>
      <c r="H75" s="144"/>
      <c r="I75" s="144"/>
      <c r="J75" s="136"/>
      <c r="K75" s="136"/>
      <c r="L75" s="136"/>
      <c r="M75" s="136"/>
      <c r="N75" s="136"/>
      <c r="O75" s="136"/>
      <c r="P75" s="136"/>
      <c r="Q75" s="136"/>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row>
    <row r="76" spans="1:50">
      <c r="A76" s="115"/>
      <c r="B76" s="115"/>
      <c r="C76" s="115"/>
      <c r="D76" s="115"/>
      <c r="E76" s="115"/>
      <c r="F76" s="115"/>
      <c r="G76" s="115"/>
      <c r="H76" s="115"/>
      <c r="I76" s="115"/>
      <c r="J76" s="136"/>
      <c r="K76" s="136"/>
      <c r="L76" s="136"/>
      <c r="M76" s="136"/>
      <c r="N76" s="136"/>
      <c r="O76" s="136"/>
      <c r="P76" s="136"/>
      <c r="Q76" s="136"/>
    </row>
    <row r="77" spans="1:50" ht="12.75" customHeight="1">
      <c r="A77" s="257" t="s">
        <v>277</v>
      </c>
      <c r="B77" s="258"/>
      <c r="C77" s="258"/>
      <c r="D77" s="258"/>
      <c r="E77" s="257"/>
      <c r="F77" s="258"/>
      <c r="G77" s="258"/>
      <c r="H77" s="258"/>
      <c r="I77" s="158"/>
    </row>
    <row r="78" spans="1:50" ht="17">
      <c r="A78" s="115"/>
      <c r="B78" s="115"/>
      <c r="C78" s="115"/>
      <c r="D78" s="115"/>
      <c r="E78" s="115"/>
      <c r="F78" s="115"/>
      <c r="G78" s="115"/>
      <c r="H78" s="115"/>
      <c r="I78" s="115"/>
      <c r="J78" s="144"/>
      <c r="K78" s="144"/>
      <c r="L78" s="144"/>
      <c r="M78" s="144"/>
      <c r="N78" s="144"/>
      <c r="O78" s="144"/>
      <c r="P78" s="144"/>
      <c r="Q78" s="144"/>
    </row>
    <row r="79" spans="1:50">
      <c r="A79" s="115"/>
      <c r="B79" s="115"/>
      <c r="C79" s="115"/>
      <c r="D79" s="115"/>
      <c r="E79" s="115"/>
      <c r="F79" s="115"/>
      <c r="G79" s="115"/>
      <c r="H79" s="115"/>
      <c r="I79" s="115"/>
    </row>
    <row r="80" spans="1:50">
      <c r="A80" s="115"/>
      <c r="B80" s="115"/>
      <c r="C80" s="115"/>
      <c r="D80" s="115"/>
      <c r="E80" s="115"/>
      <c r="F80" s="115"/>
      <c r="G80" s="115"/>
      <c r="H80" s="115"/>
      <c r="I80" s="115"/>
    </row>
    <row r="81" spans="1:9">
      <c r="A81" s="115"/>
      <c r="B81" s="115"/>
      <c r="C81" s="115"/>
      <c r="D81" s="115"/>
      <c r="E81" s="115"/>
      <c r="F81" s="115"/>
      <c r="G81" s="115"/>
      <c r="H81" s="115"/>
      <c r="I81" s="115"/>
    </row>
    <row r="82" spans="1:9">
      <c r="A82" s="115"/>
      <c r="B82" s="115"/>
      <c r="C82" s="115"/>
      <c r="D82" s="115"/>
      <c r="E82" s="115"/>
      <c r="F82" s="115"/>
      <c r="G82" s="115"/>
      <c r="H82" s="115"/>
      <c r="I82" s="115"/>
    </row>
    <row r="83" spans="1:9">
      <c r="A83" s="115"/>
      <c r="B83" s="115"/>
      <c r="C83" s="115"/>
      <c r="D83" s="115"/>
      <c r="E83" s="115"/>
      <c r="F83" s="115"/>
      <c r="G83" s="115"/>
      <c r="H83" s="115"/>
      <c r="I83" s="115"/>
    </row>
    <row r="84" spans="1:9">
      <c r="A84" s="115"/>
      <c r="B84" s="115"/>
      <c r="C84" s="115"/>
      <c r="D84" s="115"/>
      <c r="E84" s="115"/>
      <c r="F84" s="115"/>
      <c r="G84" s="115"/>
      <c r="H84" s="115"/>
      <c r="I84" s="115"/>
    </row>
    <row r="85" spans="1:9">
      <c r="A85" s="115"/>
      <c r="B85" s="115"/>
      <c r="C85" s="115"/>
      <c r="D85" s="115"/>
      <c r="E85" s="115"/>
      <c r="F85" s="115"/>
      <c r="G85" s="115"/>
      <c r="H85" s="115"/>
      <c r="I85" s="115"/>
    </row>
    <row r="86" spans="1:9">
      <c r="A86" s="115"/>
      <c r="B86" s="115"/>
      <c r="C86" s="115"/>
      <c r="D86" s="115"/>
      <c r="E86" s="115"/>
      <c r="F86" s="115"/>
      <c r="G86" s="115"/>
      <c r="H86" s="115"/>
      <c r="I86" s="115"/>
    </row>
    <row r="87" spans="1:9">
      <c r="A87" s="115"/>
      <c r="B87" s="115"/>
      <c r="C87" s="115"/>
      <c r="D87" s="115"/>
      <c r="E87" s="115"/>
      <c r="F87" s="115"/>
      <c r="G87" s="115"/>
      <c r="H87" s="115"/>
      <c r="I87" s="115"/>
    </row>
    <row r="88" spans="1:9">
      <c r="A88" s="115"/>
      <c r="B88" s="115"/>
      <c r="C88" s="115"/>
      <c r="D88" s="115"/>
      <c r="E88" s="115"/>
      <c r="F88" s="115"/>
      <c r="G88" s="115"/>
      <c r="H88" s="115"/>
      <c r="I88" s="115"/>
    </row>
    <row r="89" spans="1:9">
      <c r="A89" s="115"/>
      <c r="B89" s="115"/>
      <c r="C89" s="115"/>
      <c r="D89" s="115"/>
      <c r="E89" s="115"/>
      <c r="F89" s="115"/>
      <c r="G89" s="115"/>
      <c r="H89" s="115"/>
      <c r="I89" s="115"/>
    </row>
    <row r="90" spans="1:9">
      <c r="A90" s="115"/>
      <c r="B90" s="115"/>
      <c r="C90" s="115"/>
      <c r="D90" s="115"/>
      <c r="E90" s="115"/>
      <c r="F90" s="115"/>
      <c r="G90" s="115"/>
      <c r="H90" s="115"/>
      <c r="I90" s="115"/>
    </row>
    <row r="91" spans="1:9">
      <c r="A91" s="115"/>
      <c r="B91" s="115"/>
      <c r="C91" s="115"/>
      <c r="D91" s="115"/>
      <c r="E91" s="115"/>
      <c r="F91" s="115"/>
      <c r="G91" s="115"/>
      <c r="H91" s="115"/>
      <c r="I91" s="115"/>
    </row>
    <row r="92" spans="1:9">
      <c r="A92" s="115"/>
      <c r="B92" s="115"/>
      <c r="C92" s="115"/>
      <c r="D92" s="115"/>
      <c r="E92" s="115"/>
      <c r="F92" s="115"/>
      <c r="G92" s="115"/>
      <c r="H92" s="115"/>
      <c r="I92" s="115"/>
    </row>
    <row r="93" spans="1:9">
      <c r="A93" s="115"/>
      <c r="B93" s="115"/>
      <c r="C93" s="115"/>
      <c r="D93" s="115"/>
      <c r="E93" s="115"/>
      <c r="F93" s="115"/>
      <c r="G93" s="115"/>
      <c r="H93" s="115"/>
      <c r="I93" s="115"/>
    </row>
    <row r="94" spans="1:9">
      <c r="A94" s="115"/>
      <c r="B94" s="115"/>
      <c r="C94" s="115"/>
      <c r="D94" s="115"/>
      <c r="E94" s="115"/>
      <c r="F94" s="115"/>
      <c r="G94" s="115"/>
      <c r="H94" s="115"/>
      <c r="I94" s="115"/>
    </row>
    <row r="95" spans="1:9">
      <c r="A95" s="115"/>
      <c r="B95" s="115"/>
      <c r="C95" s="115"/>
      <c r="D95" s="115"/>
      <c r="E95" s="115"/>
      <c r="F95" s="115"/>
      <c r="G95" s="115"/>
      <c r="H95" s="115"/>
      <c r="I95" s="115"/>
    </row>
    <row r="96" spans="1:9">
      <c r="A96" s="115"/>
      <c r="B96" s="115"/>
      <c r="C96" s="115"/>
      <c r="D96" s="115"/>
      <c r="E96" s="115"/>
      <c r="F96" s="115"/>
      <c r="G96" s="115"/>
      <c r="H96" s="115"/>
      <c r="I96" s="115"/>
    </row>
    <row r="97" spans="1:9">
      <c r="A97" s="115"/>
      <c r="B97" s="115"/>
      <c r="C97" s="115"/>
      <c r="D97" s="115"/>
      <c r="E97" s="115"/>
      <c r="F97" s="115"/>
      <c r="G97" s="115"/>
      <c r="H97" s="115"/>
      <c r="I97" s="115"/>
    </row>
    <row r="98" spans="1:9">
      <c r="A98" s="115"/>
      <c r="B98" s="115"/>
      <c r="C98" s="115"/>
      <c r="D98" s="115"/>
      <c r="E98" s="115"/>
      <c r="F98" s="115"/>
      <c r="G98" s="115"/>
      <c r="H98" s="115"/>
      <c r="I98" s="115"/>
    </row>
    <row r="99" spans="1:9">
      <c r="A99" s="115"/>
      <c r="B99" s="115"/>
      <c r="C99" s="115"/>
      <c r="D99" s="115"/>
      <c r="E99" s="115"/>
      <c r="F99" s="115"/>
      <c r="G99" s="115"/>
      <c r="H99" s="115"/>
      <c r="I99" s="115"/>
    </row>
    <row r="100" spans="1:9">
      <c r="A100" s="115"/>
      <c r="B100" s="115"/>
      <c r="C100" s="115"/>
      <c r="D100" s="115"/>
      <c r="E100" s="115"/>
      <c r="F100" s="115"/>
      <c r="G100" s="115"/>
      <c r="H100" s="115"/>
      <c r="I100" s="115"/>
    </row>
    <row r="101" spans="1:9">
      <c r="A101" s="115"/>
      <c r="B101" s="115"/>
      <c r="C101" s="115"/>
      <c r="D101" s="115"/>
      <c r="E101" s="115"/>
      <c r="F101" s="115"/>
      <c r="G101" s="115"/>
      <c r="H101" s="115"/>
      <c r="I101" s="115"/>
    </row>
    <row r="102" spans="1:9">
      <c r="A102" s="115"/>
      <c r="B102" s="115"/>
      <c r="C102" s="115"/>
      <c r="D102" s="115"/>
      <c r="E102" s="115"/>
      <c r="F102" s="115"/>
      <c r="G102" s="115"/>
      <c r="H102" s="115"/>
      <c r="I102" s="115"/>
    </row>
    <row r="103" spans="1:9">
      <c r="A103" s="115"/>
      <c r="B103" s="115"/>
      <c r="C103" s="115"/>
      <c r="D103" s="115"/>
      <c r="E103" s="115"/>
      <c r="F103" s="115"/>
      <c r="G103" s="115"/>
      <c r="H103" s="115"/>
      <c r="I103" s="115"/>
    </row>
    <row r="104" spans="1:9">
      <c r="A104" s="115"/>
      <c r="B104" s="115"/>
      <c r="C104" s="115"/>
      <c r="D104" s="115"/>
      <c r="E104" s="115"/>
      <c r="F104" s="115"/>
      <c r="G104" s="115"/>
      <c r="H104" s="115"/>
      <c r="I104" s="115"/>
    </row>
    <row r="105" spans="1:9">
      <c r="A105" s="115"/>
      <c r="B105" s="115"/>
      <c r="C105" s="115"/>
      <c r="D105" s="115"/>
      <c r="E105" s="115"/>
      <c r="F105" s="115"/>
      <c r="G105" s="115"/>
      <c r="H105" s="115"/>
      <c r="I105" s="115"/>
    </row>
    <row r="106" spans="1:9">
      <c r="A106" s="115"/>
      <c r="B106" s="115"/>
      <c r="C106" s="115"/>
      <c r="D106" s="115"/>
      <c r="E106" s="115"/>
      <c r="F106" s="115"/>
      <c r="G106" s="115"/>
      <c r="H106" s="115"/>
      <c r="I106" s="115"/>
    </row>
    <row r="107" spans="1:9">
      <c r="A107" s="115"/>
      <c r="B107" s="115"/>
      <c r="C107" s="115"/>
      <c r="D107" s="115"/>
      <c r="E107" s="115"/>
      <c r="F107" s="115"/>
      <c r="G107" s="115"/>
      <c r="H107" s="115"/>
      <c r="I107" s="115"/>
    </row>
    <row r="108" spans="1:9">
      <c r="A108" s="115"/>
      <c r="B108" s="115"/>
      <c r="C108" s="115"/>
      <c r="D108" s="115"/>
      <c r="E108" s="115"/>
      <c r="F108" s="115"/>
      <c r="G108" s="115"/>
      <c r="H108" s="115"/>
      <c r="I108" s="115"/>
    </row>
    <row r="109" spans="1:9">
      <c r="A109" s="115"/>
      <c r="B109" s="115"/>
      <c r="C109" s="115"/>
      <c r="D109" s="115"/>
      <c r="E109" s="115"/>
      <c r="F109" s="115"/>
      <c r="G109" s="115"/>
      <c r="H109" s="115"/>
      <c r="I109" s="115"/>
    </row>
    <row r="110" spans="1:9">
      <c r="A110" s="115"/>
      <c r="B110" s="115"/>
      <c r="C110" s="115"/>
      <c r="D110" s="115"/>
      <c r="E110" s="115"/>
      <c r="F110" s="115"/>
      <c r="G110" s="115"/>
      <c r="H110" s="115"/>
      <c r="I110" s="115"/>
    </row>
    <row r="111" spans="1:9">
      <c r="A111" s="115"/>
      <c r="B111" s="115"/>
      <c r="C111" s="115"/>
      <c r="D111" s="115"/>
      <c r="E111" s="115"/>
      <c r="F111" s="115"/>
      <c r="G111" s="115"/>
      <c r="H111" s="115"/>
      <c r="I111" s="115"/>
    </row>
    <row r="112" spans="1:9">
      <c r="A112" s="115"/>
      <c r="B112" s="115"/>
      <c r="C112" s="115"/>
      <c r="D112" s="115"/>
      <c r="E112" s="115"/>
      <c r="F112" s="115"/>
      <c r="G112" s="115"/>
      <c r="H112" s="115"/>
      <c r="I112" s="115"/>
    </row>
    <row r="113" spans="1:9">
      <c r="A113" s="115"/>
      <c r="B113" s="115"/>
      <c r="C113" s="115"/>
      <c r="D113" s="115"/>
      <c r="E113" s="115"/>
      <c r="F113" s="115"/>
      <c r="G113" s="115"/>
      <c r="H113" s="115"/>
      <c r="I113" s="115"/>
    </row>
    <row r="114" spans="1:9">
      <c r="A114" s="115"/>
      <c r="B114" s="115"/>
      <c r="C114" s="115"/>
      <c r="D114" s="115"/>
      <c r="E114" s="115"/>
      <c r="F114" s="115"/>
      <c r="G114" s="115"/>
      <c r="H114" s="115"/>
      <c r="I114" s="115"/>
    </row>
    <row r="115" spans="1:9">
      <c r="A115" s="115"/>
      <c r="B115" s="115"/>
      <c r="C115" s="115"/>
      <c r="D115" s="115"/>
      <c r="E115" s="115"/>
      <c r="F115" s="115"/>
      <c r="G115" s="115"/>
      <c r="H115" s="115"/>
      <c r="I115" s="115"/>
    </row>
    <row r="116" spans="1:9">
      <c r="A116" s="115"/>
      <c r="B116" s="115"/>
      <c r="C116" s="115"/>
      <c r="D116" s="115"/>
      <c r="E116" s="115"/>
      <c r="F116" s="115"/>
      <c r="G116" s="115"/>
      <c r="H116" s="115"/>
      <c r="I116" s="115"/>
    </row>
    <row r="117" spans="1:9">
      <c r="A117" s="115"/>
      <c r="B117" s="115"/>
      <c r="C117" s="115"/>
      <c r="D117" s="115"/>
      <c r="E117" s="115"/>
      <c r="F117" s="115"/>
      <c r="G117" s="115"/>
      <c r="H117" s="115"/>
      <c r="I117" s="115"/>
    </row>
    <row r="118" spans="1:9">
      <c r="A118" s="115"/>
      <c r="B118" s="115"/>
      <c r="C118" s="115"/>
      <c r="D118" s="115"/>
      <c r="E118" s="115"/>
      <c r="F118" s="115"/>
      <c r="G118" s="115"/>
      <c r="H118" s="115"/>
      <c r="I118" s="115"/>
    </row>
    <row r="119" spans="1:9">
      <c r="A119" s="115"/>
      <c r="B119" s="115"/>
      <c r="C119" s="115"/>
      <c r="D119" s="115"/>
      <c r="E119" s="115"/>
      <c r="F119" s="115"/>
      <c r="G119" s="115"/>
      <c r="H119" s="115"/>
      <c r="I119" s="115"/>
    </row>
    <row r="120" spans="1:9">
      <c r="A120" s="115"/>
      <c r="B120" s="115"/>
      <c r="C120" s="115"/>
      <c r="D120" s="115"/>
      <c r="E120" s="115"/>
      <c r="F120" s="115"/>
      <c r="G120" s="115"/>
      <c r="H120" s="115"/>
      <c r="I120" s="115"/>
    </row>
    <row r="121" spans="1:9">
      <c r="A121" s="115"/>
      <c r="B121" s="115"/>
      <c r="C121" s="115"/>
      <c r="D121" s="115"/>
      <c r="E121" s="115"/>
      <c r="F121" s="115"/>
      <c r="G121" s="115"/>
      <c r="H121" s="115"/>
      <c r="I121" s="115"/>
    </row>
    <row r="122" spans="1:9">
      <c r="A122" s="115"/>
      <c r="B122" s="115"/>
      <c r="C122" s="115"/>
      <c r="D122" s="115"/>
      <c r="E122" s="115"/>
      <c r="F122" s="115"/>
      <c r="G122" s="115"/>
      <c r="H122" s="115"/>
      <c r="I122" s="115"/>
    </row>
    <row r="123" spans="1:9">
      <c r="A123" s="115"/>
      <c r="B123" s="115"/>
      <c r="C123" s="115"/>
      <c r="D123" s="115"/>
      <c r="E123" s="115"/>
      <c r="F123" s="115"/>
      <c r="G123" s="115"/>
      <c r="H123" s="115"/>
      <c r="I123" s="115"/>
    </row>
    <row r="124" spans="1:9">
      <c r="A124" s="115"/>
      <c r="B124" s="115"/>
      <c r="C124" s="115"/>
      <c r="D124" s="115"/>
      <c r="E124" s="115"/>
      <c r="F124" s="115"/>
      <c r="G124" s="115"/>
      <c r="H124" s="115"/>
      <c r="I124" s="115"/>
    </row>
    <row r="125" spans="1:9">
      <c r="A125" s="115"/>
      <c r="B125" s="115"/>
      <c r="C125" s="115"/>
      <c r="D125" s="115"/>
      <c r="E125" s="115"/>
      <c r="F125" s="115"/>
      <c r="G125" s="115"/>
      <c r="H125" s="115"/>
      <c r="I125" s="115"/>
    </row>
    <row r="126" spans="1:9">
      <c r="A126" s="115"/>
      <c r="B126" s="115"/>
      <c r="C126" s="115"/>
      <c r="D126" s="115"/>
      <c r="E126" s="115"/>
      <c r="F126" s="115"/>
      <c r="G126" s="115"/>
      <c r="H126" s="115"/>
      <c r="I126" s="115"/>
    </row>
    <row r="127" spans="1:9">
      <c r="A127" s="115"/>
      <c r="B127" s="115"/>
      <c r="C127" s="115"/>
      <c r="D127" s="115"/>
      <c r="E127" s="115"/>
      <c r="F127" s="115"/>
      <c r="G127" s="115"/>
      <c r="H127" s="115"/>
      <c r="I127" s="115"/>
    </row>
    <row r="128" spans="1:9">
      <c r="A128" s="115"/>
      <c r="B128" s="115"/>
      <c r="C128" s="115"/>
      <c r="D128" s="115"/>
      <c r="E128" s="115"/>
      <c r="F128" s="115"/>
      <c r="G128" s="115"/>
      <c r="H128" s="115"/>
      <c r="I128" s="115"/>
    </row>
    <row r="129" spans="1:9">
      <c r="A129" s="115"/>
      <c r="B129" s="115"/>
      <c r="C129" s="115"/>
      <c r="D129" s="115"/>
      <c r="E129" s="115"/>
      <c r="F129" s="115"/>
      <c r="G129" s="115"/>
      <c r="H129" s="115"/>
      <c r="I129" s="115"/>
    </row>
    <row r="130" spans="1:9">
      <c r="A130" s="115"/>
      <c r="B130" s="115"/>
      <c r="C130" s="115"/>
      <c r="D130" s="115"/>
      <c r="E130" s="115"/>
      <c r="F130" s="115"/>
      <c r="G130" s="115"/>
      <c r="H130" s="115"/>
      <c r="I130" s="115"/>
    </row>
    <row r="131" spans="1:9">
      <c r="A131" s="115"/>
      <c r="B131" s="115"/>
      <c r="C131" s="115"/>
      <c r="D131" s="115"/>
      <c r="E131" s="115"/>
      <c r="F131" s="115"/>
      <c r="G131" s="115"/>
      <c r="H131" s="115"/>
      <c r="I131" s="115"/>
    </row>
    <row r="132" spans="1:9">
      <c r="A132" s="115"/>
      <c r="B132" s="115"/>
      <c r="C132" s="115"/>
      <c r="D132" s="115"/>
      <c r="E132" s="115"/>
      <c r="F132" s="115"/>
      <c r="G132" s="115"/>
      <c r="H132" s="115"/>
      <c r="I132" s="115"/>
    </row>
    <row r="133" spans="1:9">
      <c r="A133" s="115"/>
      <c r="B133" s="115"/>
      <c r="C133" s="115"/>
      <c r="D133" s="115"/>
      <c r="E133" s="115"/>
      <c r="F133" s="115"/>
      <c r="G133" s="115"/>
      <c r="H133" s="115"/>
      <c r="I133" s="115"/>
    </row>
    <row r="134" spans="1:9">
      <c r="A134" s="115"/>
      <c r="B134" s="115"/>
      <c r="C134" s="115"/>
      <c r="D134" s="115"/>
      <c r="E134" s="115"/>
      <c r="F134" s="115"/>
      <c r="G134" s="115"/>
      <c r="H134" s="115"/>
      <c r="I134" s="115"/>
    </row>
    <row r="135" spans="1:9">
      <c r="A135" s="115"/>
      <c r="B135" s="115"/>
      <c r="C135" s="115"/>
      <c r="D135" s="115"/>
      <c r="E135" s="115"/>
      <c r="F135" s="115"/>
      <c r="G135" s="115"/>
      <c r="H135" s="115"/>
      <c r="I135" s="115"/>
    </row>
    <row r="136" spans="1:9">
      <c r="A136" s="115"/>
      <c r="B136" s="115"/>
      <c r="C136" s="115"/>
      <c r="D136" s="115"/>
      <c r="E136" s="115"/>
      <c r="F136" s="115"/>
      <c r="G136" s="115"/>
      <c r="H136" s="115"/>
      <c r="I136" s="115"/>
    </row>
    <row r="137" spans="1:9">
      <c r="A137" s="115"/>
      <c r="B137" s="115"/>
      <c r="C137" s="115"/>
      <c r="D137" s="115"/>
      <c r="E137" s="115"/>
      <c r="F137" s="115"/>
      <c r="G137" s="115"/>
      <c r="H137" s="115"/>
      <c r="I137" s="115"/>
    </row>
    <row r="138" spans="1:9">
      <c r="A138" s="115"/>
      <c r="B138" s="115"/>
      <c r="C138" s="115"/>
      <c r="D138" s="115"/>
      <c r="E138" s="115"/>
      <c r="F138" s="115"/>
      <c r="G138" s="115"/>
      <c r="H138" s="115"/>
      <c r="I138" s="115"/>
    </row>
    <row r="139" spans="1:9">
      <c r="A139" s="115"/>
      <c r="B139" s="115"/>
      <c r="C139" s="115"/>
      <c r="D139" s="115"/>
      <c r="E139" s="115"/>
      <c r="F139" s="115"/>
      <c r="G139" s="115"/>
      <c r="H139" s="115"/>
      <c r="I139" s="115"/>
    </row>
    <row r="140" spans="1:9">
      <c r="A140" s="115"/>
      <c r="B140" s="115"/>
      <c r="C140" s="115"/>
      <c r="D140" s="115"/>
      <c r="E140" s="115"/>
      <c r="F140" s="115"/>
      <c r="G140" s="115"/>
      <c r="H140" s="115"/>
      <c r="I140" s="115"/>
    </row>
    <row r="141" spans="1:9">
      <c r="A141" s="115"/>
      <c r="B141" s="115"/>
      <c r="C141" s="115"/>
      <c r="D141" s="115"/>
      <c r="E141" s="115"/>
      <c r="F141" s="115"/>
      <c r="G141" s="115"/>
      <c r="H141" s="115"/>
      <c r="I141" s="115"/>
    </row>
  </sheetData>
  <sheetProtection selectLockedCells="1" sort="0" autoFilter="0"/>
  <mergeCells count="25">
    <mergeCell ref="E7:H7"/>
    <mergeCell ref="B7:D7"/>
    <mergeCell ref="B8:D8"/>
    <mergeCell ref="A5:I5"/>
    <mergeCell ref="A70:C70"/>
    <mergeCell ref="G1:I1"/>
    <mergeCell ref="G3:I3"/>
    <mergeCell ref="B2:D2"/>
    <mergeCell ref="G2:I2"/>
    <mergeCell ref="B4:D4"/>
    <mergeCell ref="E4:F4"/>
    <mergeCell ref="B3:D3"/>
    <mergeCell ref="B1:D1"/>
    <mergeCell ref="E1:F1"/>
    <mergeCell ref="E2:F2"/>
    <mergeCell ref="E3:F3"/>
    <mergeCell ref="A77:D77"/>
    <mergeCell ref="E77:H77"/>
    <mergeCell ref="A73:I74"/>
    <mergeCell ref="B30:D30"/>
    <mergeCell ref="E30:H30"/>
    <mergeCell ref="A52:I52"/>
    <mergeCell ref="A60:B60"/>
    <mergeCell ref="B66:H66"/>
    <mergeCell ref="A53:G53"/>
  </mergeCells>
  <phoneticPr fontId="0" type="noConversion"/>
  <conditionalFormatting sqref="B11:E11 B13:E13 B15:E15 B20:E20">
    <cfRule type="expression" dxfId="0" priority="1">
      <formula>$E$8="否"</formula>
    </cfRule>
  </conditionalFormatting>
  <dataValidations count="1">
    <dataValidation type="list" allowBlank="1" showInputMessage="1" showErrorMessage="1" errorTitle="請使用下拉選單" sqref="E8" xr:uid="{ED036CA5-BBC4-604D-90BA-9E08AB276DFC}">
      <formula1>"否,是"</formula1>
    </dataValidation>
  </dataValidations>
  <printOptions gridLines="1" gridLinesSet="0"/>
  <pageMargins left="1.25" right="0.75" top="0.56999999999999995" bottom="0.6" header="0.28000000000000003" footer="0.3"/>
  <pageSetup scale="68" orientation="portrait" verticalDpi="300"/>
  <headerFooter alignWithMargins="0">
    <oddHeader>&amp;C&amp;"Times New Roman,Bold"&amp;12Reef Check Belt Transect  - Fish and Invertebrates</oddHeader>
    <oddFooter>&amp;C&amp;"Times New Roman,Bold"&amp;12Indo-Pacific 2010</oddFooter>
  </headerFooter>
  <ignoredErrors>
    <ignoredError sqref="K10:N12 K14 L14:N14"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errorTitle="請使用下拉選單" xr:uid="{B064D0F5-EDC4-6D4F-891E-99B25E19FE9D}">
          <x14:formula1>
            <xm:f>siteName!$A$2:$A$42</xm:f>
          </x14:formula1>
          <xm:sqref>B1:D1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Q242"/>
  <sheetViews>
    <sheetView tabSelected="1" zoomScale="111" workbookViewId="0">
      <selection activeCell="M4" sqref="M4"/>
    </sheetView>
  </sheetViews>
  <sheetFormatPr baseColWidth="10" defaultColWidth="8.83203125" defaultRowHeight="14"/>
  <cols>
    <col min="1" max="1" width="24.33203125" style="3" customWidth="1"/>
    <col min="2" max="3" width="10.83203125" style="2" customWidth="1"/>
    <col min="4" max="10" width="10.83203125" style="6" customWidth="1"/>
    <col min="11" max="11" width="15.6640625" style="6" customWidth="1"/>
    <col min="12" max="17" width="10.83203125" style="6" customWidth="1"/>
    <col min="18" max="28" width="10.83203125" style="2" customWidth="1"/>
    <col min="29" max="16384" width="8.83203125" style="2"/>
  </cols>
  <sheetData>
    <row r="1" spans="1:13" ht="30" customHeight="1">
      <c r="A1" s="5"/>
      <c r="B1" s="6"/>
      <c r="E1" s="301" t="s">
        <v>213</v>
      </c>
      <c r="F1" s="302"/>
      <c r="G1" s="302"/>
      <c r="H1" s="302"/>
      <c r="I1" s="302"/>
      <c r="J1" s="302"/>
      <c r="K1" s="303"/>
      <c r="L1" s="8"/>
      <c r="M1" s="8"/>
    </row>
    <row r="2" spans="1:13" ht="32.25" customHeight="1" thickBot="1">
      <c r="A2" s="308" t="s">
        <v>214</v>
      </c>
      <c r="B2" s="309"/>
      <c r="C2" s="309"/>
      <c r="E2" s="310" t="s">
        <v>215</v>
      </c>
      <c r="F2" s="311"/>
      <c r="G2" s="311"/>
      <c r="H2" s="311"/>
      <c r="I2" s="311"/>
      <c r="J2" s="311"/>
      <c r="K2" s="312"/>
    </row>
    <row r="3" spans="1:13" ht="19" thickBot="1">
      <c r="A3" s="21" t="s">
        <v>216</v>
      </c>
      <c r="B3" s="6"/>
      <c r="C3" s="6"/>
      <c r="E3" s="313" t="s">
        <v>217</v>
      </c>
      <c r="F3" s="314"/>
      <c r="G3" s="314"/>
      <c r="H3" s="314"/>
      <c r="I3" s="314"/>
      <c r="J3" s="314"/>
      <c r="K3" s="314"/>
    </row>
    <row r="4" spans="1:13" ht="16" thickBot="1">
      <c r="A4" s="4" t="s">
        <v>218</v>
      </c>
      <c r="B4" s="84" t="s">
        <v>219</v>
      </c>
      <c r="C4" s="85" t="s">
        <v>220</v>
      </c>
    </row>
    <row r="5" spans="1:13" ht="14.25" customHeight="1" thickBot="1">
      <c r="A5" s="218" t="s">
        <v>221</v>
      </c>
      <c r="B5" s="86">
        <f>DATA!P10</f>
      </c>
      <c r="C5" s="87">
        <f>SUM(DATA!Q10/SQRT(4))</f>
      </c>
    </row>
    <row r="6" spans="1:13" ht="14.25" customHeight="1">
      <c r="A6" s="219" t="s">
        <v>222</v>
      </c>
      <c r="B6" s="88">
        <f>DATA!P11</f>
      </c>
      <c r="C6" s="89">
        <f>SUM(DATA!Q11/SQRT(4))</f>
      </c>
      <c r="E6" s="298"/>
      <c r="F6" s="299"/>
      <c r="G6" s="299"/>
      <c r="H6" s="299"/>
      <c r="I6" s="299"/>
      <c r="J6" s="299"/>
      <c r="K6" s="300"/>
    </row>
    <row r="7" spans="1:13" ht="14.25" customHeight="1">
      <c r="A7" s="219" t="s">
        <v>223</v>
      </c>
      <c r="B7" s="88">
        <f>DATA!P12</f>
      </c>
      <c r="C7" s="89">
        <f>SUM(DATA!Q12/SQRT(4))</f>
      </c>
      <c r="E7" s="295" t="s">
        <v>224</v>
      </c>
      <c r="F7" s="296"/>
      <c r="G7" s="296"/>
      <c r="H7" s="296"/>
      <c r="I7" s="296"/>
      <c r="J7" s="296"/>
      <c r="K7" s="297"/>
    </row>
    <row r="8" spans="1:13" ht="14.25" customHeight="1">
      <c r="A8" s="100" t="s">
        <v>225</v>
      </c>
      <c r="B8" s="88">
        <f>DATA!P13</f>
      </c>
      <c r="C8" s="89">
        <f>SUM(DATA!Q13/SQRT(4))</f>
      </c>
      <c r="E8" s="11"/>
      <c r="K8" s="12"/>
    </row>
    <row r="9" spans="1:13" ht="14.25" customHeight="1">
      <c r="A9" s="223" t="s">
        <v>226</v>
      </c>
      <c r="B9" s="88">
        <f>DATA!P14</f>
      </c>
      <c r="C9" s="89">
        <f>SUM(DATA!Q14/SQRT(4))</f>
      </c>
      <c r="E9" s="11"/>
      <c r="K9" s="12"/>
    </row>
    <row r="10" spans="1:13" ht="14.25" customHeight="1">
      <c r="A10" s="223" t="s">
        <v>227</v>
      </c>
      <c r="B10" s="88">
        <f>DATA!G23</f>
      </c>
      <c r="C10" s="89">
        <f>SUM(DATA!H23/SQRT(4))</f>
      </c>
      <c r="E10" s="11"/>
      <c r="K10" s="12"/>
    </row>
    <row r="11" spans="1:13" ht="14.25" customHeight="1">
      <c r="A11" s="219" t="s">
        <v>228</v>
      </c>
      <c r="B11" s="88">
        <f>DATA!P15</f>
      </c>
      <c r="C11" s="89">
        <f>SUM(DATA!Q15/SQRT(4))</f>
      </c>
      <c r="E11" s="11"/>
      <c r="K11" s="12"/>
    </row>
    <row r="12" spans="1:13" ht="14.25" customHeight="1">
      <c r="A12" s="219" t="s">
        <v>229</v>
      </c>
      <c r="B12" s="88">
        <f>DATA!P16</f>
      </c>
      <c r="C12" s="89">
        <f>SUM(DATA!Q16/SQRT(4))</f>
      </c>
      <c r="E12" s="11"/>
      <c r="K12" s="12"/>
    </row>
    <row r="13" spans="1:13" ht="14.25" customHeight="1">
      <c r="A13" s="1" t="s">
        <v>230</v>
      </c>
      <c r="B13" s="88">
        <f>DATA!P17</f>
      </c>
      <c r="C13" s="89">
        <f>SUM(DATA!Q17/SQRT(4))</f>
      </c>
      <c r="E13" s="11"/>
      <c r="K13" s="12"/>
    </row>
    <row r="14" spans="1:13" ht="14.25" customHeight="1" thickBot="1">
      <c r="A14" s="220" t="s">
        <v>231</v>
      </c>
      <c r="B14" s="90">
        <f>DATA!P18</f>
      </c>
      <c r="C14" s="91">
        <f>SUM(DATA!Q18/SQRT(4))</f>
      </c>
      <c r="E14" s="11"/>
      <c r="K14" s="12"/>
    </row>
    <row r="15" spans="1:13" ht="14.25" customHeight="1">
      <c r="A15" s="250"/>
      <c r="B15" s="251"/>
      <c r="C15" s="251"/>
      <c r="E15" s="11"/>
      <c r="K15" s="12"/>
    </row>
    <row r="16" spans="1:13" ht="16" thickBot="1">
      <c r="A16" s="254" t="s">
        <v>232</v>
      </c>
      <c r="B16" s="255">
        <f>DATA!E8</f>
      </c>
      <c r="C16" s="92"/>
      <c r="E16" s="11"/>
      <c r="K16" s="12"/>
    </row>
    <row r="17" spans="1:11" ht="15" thickBot="1">
      <c r="A17" s="252" t="s">
        <v>233</v>
      </c>
      <c r="B17" s="253" t="s">
        <v>219</v>
      </c>
      <c r="C17" s="85" t="s">
        <v>220</v>
      </c>
      <c r="E17" s="11"/>
      <c r="K17" s="12"/>
    </row>
    <row r="18" spans="1:11" ht="16">
      <c r="A18" s="126" t="s">
        <v>234</v>
      </c>
      <c r="B18" s="86">
        <f>DATA!G10</f>
      </c>
      <c r="C18" s="87">
        <f>SUM(DATA!H10/SQRT(4))</f>
      </c>
      <c r="E18" s="11"/>
      <c r="K18" s="12"/>
    </row>
    <row r="19" spans="1:11" ht="16">
      <c r="A19" s="248" t="s">
        <v>235</v>
      </c>
      <c r="B19" s="88">
        <f>DATA!G11</f>
      </c>
      <c r="C19" s="89">
        <f>SUM(DATA!H11/SQRT(4))</f>
      </c>
      <c r="E19" s="11"/>
      <c r="K19" s="12"/>
    </row>
    <row r="20" spans="1:11" ht="16">
      <c r="A20" s="130" t="s">
        <v>236</v>
      </c>
      <c r="B20" s="88">
        <f>DATA!G12</f>
      </c>
      <c r="C20" s="89">
        <f>SUM(DATA!H12/SQRT(4))</f>
      </c>
      <c r="E20" s="11"/>
      <c r="K20" s="12"/>
    </row>
    <row r="21" spans="1:11" ht="16">
      <c r="A21" s="248" t="s">
        <v>237</v>
      </c>
      <c r="B21" s="88">
        <f>DATA!G13</f>
      </c>
      <c r="C21" s="89">
        <f>SUM(DATA!H13/SQRT(4))</f>
      </c>
      <c r="E21" s="11"/>
      <c r="K21" s="12"/>
    </row>
    <row r="22" spans="1:11" ht="16">
      <c r="A22" s="130" t="s">
        <v>238</v>
      </c>
      <c r="B22" s="88">
        <f>DATA!G14</f>
      </c>
      <c r="C22" s="89">
        <f>SUM(DATA!H14/SQRT(4))</f>
      </c>
      <c r="E22" s="11"/>
      <c r="K22" s="12"/>
    </row>
    <row r="23" spans="1:11" ht="16">
      <c r="A23" s="248" t="s">
        <v>239</v>
      </c>
      <c r="B23" s="88">
        <f>DATA!G15</f>
      </c>
      <c r="C23" s="89">
        <f>SUM(DATA!H15/SQRT(4))</f>
      </c>
      <c r="E23" s="11"/>
      <c r="K23" s="12"/>
    </row>
    <row r="24" spans="1:11" ht="16">
      <c r="A24" s="130" t="s">
        <v>240</v>
      </c>
      <c r="B24" s="88">
        <f>DATA!G19</f>
      </c>
      <c r="C24" s="89">
        <f>SUM(DATA!H19/SQRT(4))</f>
      </c>
      <c r="E24" s="11"/>
      <c r="K24" s="12"/>
    </row>
    <row r="25" spans="1:11" ht="16">
      <c r="A25" s="248" t="s">
        <v>241</v>
      </c>
      <c r="B25" s="88">
        <f>DATA!G20</f>
      </c>
      <c r="C25" s="89">
        <f>SUM(DATA!H20/SQRT(4))</f>
      </c>
      <c r="E25" s="11"/>
      <c r="K25" s="12"/>
    </row>
    <row r="26" spans="1:11" ht="16">
      <c r="A26" s="247" t="s">
        <v>242</v>
      </c>
      <c r="B26" s="88">
        <f>DATA!P14</f>
      </c>
      <c r="C26" s="89">
        <f>SUM(DATA!Q14/SQRT(4))</f>
      </c>
      <c r="E26" s="11"/>
      <c r="K26" s="12"/>
    </row>
    <row r="27" spans="1:11" ht="17" thickBot="1">
      <c r="A27" s="230" t="s">
        <v>243</v>
      </c>
      <c r="B27" s="90">
        <f>DATA!G23</f>
      </c>
      <c r="C27" s="91">
        <f>SUM(DATA!H23/SQRT(4))</f>
      </c>
      <c r="E27" s="11"/>
      <c r="K27" s="12"/>
    </row>
    <row r="28" spans="1:11">
      <c r="A28" s="92"/>
      <c r="B28" s="92"/>
      <c r="C28" s="92"/>
      <c r="E28" s="11"/>
      <c r="K28" s="12"/>
    </row>
    <row r="29" spans="1:11">
      <c r="A29" s="92"/>
      <c r="B29" s="92"/>
      <c r="C29" s="92"/>
      <c r="E29" s="11"/>
      <c r="K29" s="12"/>
    </row>
    <row r="30" spans="1:11">
      <c r="A30" s="92"/>
      <c r="B30" s="92"/>
      <c r="C30" s="92"/>
      <c r="E30" s="11"/>
      <c r="K30" s="12"/>
    </row>
    <row r="31" spans="1:11">
      <c r="A31" s="92"/>
      <c r="B31" s="92"/>
      <c r="C31" s="92"/>
      <c r="E31" s="11"/>
      <c r="K31" s="12"/>
    </row>
    <row r="32" spans="1:11">
      <c r="A32" s="92"/>
      <c r="B32" s="92"/>
      <c r="C32" s="92"/>
      <c r="E32" s="11"/>
      <c r="K32" s="12"/>
    </row>
    <row r="33" spans="1:11" ht="15" thickBot="1">
      <c r="A33" s="92"/>
      <c r="B33" s="92"/>
      <c r="C33" s="92"/>
      <c r="E33" s="11"/>
      <c r="K33" s="12"/>
    </row>
    <row r="34" spans="1:11" ht="16" thickBot="1">
      <c r="A34" s="4" t="s">
        <v>31</v>
      </c>
      <c r="B34" s="84" t="s">
        <v>219</v>
      </c>
      <c r="C34" s="85" t="s">
        <v>220</v>
      </c>
      <c r="E34" s="11"/>
      <c r="K34" s="12"/>
    </row>
    <row r="35" spans="1:11">
      <c r="A35" s="27" t="s">
        <v>244</v>
      </c>
      <c r="B35" s="86">
        <f>DATA!G33</f>
      </c>
      <c r="C35" s="87">
        <f>SUM(DATA!H33/SQRT(4))</f>
      </c>
      <c r="E35" s="11"/>
      <c r="K35" s="12"/>
    </row>
    <row r="36" spans="1:11">
      <c r="A36" s="28" t="s">
        <v>245</v>
      </c>
      <c r="B36" s="88">
        <f>DATA!G34</f>
      </c>
      <c r="C36" s="89">
        <f>SUM(DATA!H34/SQRT(4))</f>
      </c>
      <c r="E36" s="11"/>
      <c r="K36" s="12"/>
    </row>
    <row r="37" spans="1:11">
      <c r="A37" s="28" t="s">
        <v>246</v>
      </c>
      <c r="B37" s="88">
        <f>DATA!G35</f>
      </c>
      <c r="C37" s="89">
        <f>SUM(DATA!H35/SQRT(4))</f>
      </c>
      <c r="E37" s="11"/>
      <c r="K37" s="12"/>
    </row>
    <row r="38" spans="1:11">
      <c r="A38" s="29" t="s">
        <v>247</v>
      </c>
      <c r="B38" s="88">
        <f>DATA!G36</f>
      </c>
      <c r="C38" s="89">
        <f>SUM(DATA!H36/SQRT(4))</f>
      </c>
      <c r="E38" s="11"/>
      <c r="K38" s="12"/>
    </row>
    <row r="39" spans="1:11">
      <c r="A39" s="96" t="s">
        <v>248</v>
      </c>
      <c r="B39" s="88">
        <f>DATA!G37</f>
      </c>
      <c r="C39" s="89">
        <f>SUM(DATA!H37/SQRT(4))</f>
      </c>
      <c r="E39" s="11"/>
      <c r="K39" s="12"/>
    </row>
    <row r="40" spans="1:11">
      <c r="A40" s="29" t="s">
        <v>249</v>
      </c>
      <c r="B40" s="88">
        <f>DATA!G38</f>
      </c>
      <c r="C40" s="89">
        <f>SUM(DATA!H38/SQRT(4))</f>
      </c>
      <c r="E40" s="11"/>
      <c r="K40" s="12"/>
    </row>
    <row r="41" spans="1:11">
      <c r="A41" s="29" t="s">
        <v>250</v>
      </c>
      <c r="B41" s="88">
        <f>DATA!G39</f>
      </c>
      <c r="C41" s="89">
        <f>SUM(DATA!H39/SQRT(4))</f>
      </c>
      <c r="E41" s="11"/>
      <c r="K41" s="12"/>
    </row>
    <row r="42" spans="1:11">
      <c r="A42" s="28" t="s">
        <v>251</v>
      </c>
      <c r="B42" s="88">
        <f>DATA!G50</f>
      </c>
      <c r="C42" s="89">
        <f>SUM(DATA!H50/SQRT(4))</f>
      </c>
      <c r="E42" s="11"/>
      <c r="K42" s="12"/>
    </row>
    <row r="43" spans="1:11">
      <c r="A43" s="29" t="s">
        <v>252</v>
      </c>
      <c r="B43" s="88">
        <f>DATA!G40</f>
      </c>
      <c r="C43" s="89">
        <f>SUM(DATA!H40/SQRT(4))</f>
      </c>
      <c r="E43" s="11"/>
      <c r="K43" s="12"/>
    </row>
    <row r="44" spans="1:11" ht="15" thickBot="1">
      <c r="A44" s="30" t="s">
        <v>253</v>
      </c>
      <c r="B44" s="90">
        <f>DATA!G41</f>
      </c>
      <c r="C44" s="91">
        <f>SUM(DATA!H41/SQRT(4))</f>
      </c>
      <c r="E44" s="11"/>
      <c r="K44" s="12"/>
    </row>
    <row r="45" spans="1:11" ht="15" thickBot="1">
      <c r="A45" s="5"/>
      <c r="B45" s="92"/>
      <c r="C45" s="92"/>
      <c r="E45" s="13"/>
      <c r="F45" s="14"/>
      <c r="G45" s="14"/>
      <c r="H45" s="14"/>
      <c r="I45" s="14"/>
      <c r="J45" s="14"/>
      <c r="K45" s="15"/>
    </row>
    <row r="46" spans="1:11" ht="16" thickBot="1">
      <c r="A46" s="4" t="s">
        <v>254</v>
      </c>
      <c r="B46" s="84" t="s">
        <v>219</v>
      </c>
      <c r="C46" s="85" t="s">
        <v>220</v>
      </c>
    </row>
    <row r="47" spans="1:11">
      <c r="A47" s="98" t="s">
        <v>255</v>
      </c>
      <c r="B47" s="86">
        <f>DATA!G44</f>
      </c>
      <c r="C47" s="87">
        <f>SUM(DATA!H44/SQRT(4))</f>
      </c>
    </row>
    <row r="48" spans="1:11" ht="15" thickBot="1">
      <c r="A48" s="98" t="s">
        <v>256</v>
      </c>
      <c r="B48" s="88">
        <f>DATA!G45</f>
      </c>
      <c r="C48" s="89">
        <f>SUM(DATA!H45/SQRT(4))</f>
      </c>
    </row>
    <row r="49" spans="1:11" ht="18">
      <c r="A49" s="98" t="s">
        <v>257</v>
      </c>
      <c r="B49" s="88">
        <f>DATA!G46</f>
      </c>
      <c r="C49" s="89">
        <f>SUM(DATA!H46/SQRT(4))</f>
      </c>
      <c r="E49" s="292" t="s">
        <v>258</v>
      </c>
      <c r="F49" s="293"/>
      <c r="G49" s="293"/>
      <c r="H49" s="293"/>
      <c r="I49" s="293"/>
      <c r="J49" s="293"/>
      <c r="K49" s="294"/>
    </row>
    <row r="50" spans="1:11">
      <c r="A50" s="98" t="s">
        <v>259</v>
      </c>
      <c r="B50" s="88">
        <f>DATA!G47</f>
      </c>
      <c r="C50" s="89">
        <f>SUM(DATA!H47/SQRT(4))</f>
      </c>
      <c r="E50" s="11"/>
      <c r="K50" s="12"/>
    </row>
    <row r="51" spans="1:11">
      <c r="A51" s="98" t="s">
        <v>260</v>
      </c>
      <c r="B51" s="88">
        <f>DATA!G48</f>
      </c>
      <c r="C51" s="89">
        <f>SUM(DATA!H48/SQRT(4))</f>
      </c>
      <c r="E51" s="11"/>
      <c r="K51" s="12"/>
    </row>
    <row r="52" spans="1:11" ht="15" thickBot="1">
      <c r="A52" s="99" t="s">
        <v>261</v>
      </c>
      <c r="B52" s="90">
        <f>DATA!G49</f>
      </c>
      <c r="C52" s="91">
        <f>SUM(DATA!H49/SQRT(4))</f>
      </c>
      <c r="E52" s="11"/>
      <c r="K52" s="12"/>
    </row>
    <row r="53" spans="1:11" ht="15" thickBot="1">
      <c r="A53" s="5"/>
      <c r="B53" s="92"/>
      <c r="C53" s="92"/>
      <c r="E53" s="11"/>
      <c r="K53" s="12"/>
    </row>
    <row r="54" spans="1:11" ht="16" thickBot="1">
      <c r="A54" s="4" t="s">
        <v>262</v>
      </c>
      <c r="B54" s="93" t="s">
        <v>219</v>
      </c>
      <c r="C54" s="94" t="s">
        <v>220</v>
      </c>
      <c r="E54" s="11"/>
      <c r="K54" s="12"/>
    </row>
    <row r="55" spans="1:11">
      <c r="A55" s="100" t="s">
        <v>263</v>
      </c>
      <c r="B55" s="87">
        <f>DATA!P55</f>
      </c>
      <c r="C55" s="87">
        <f>SUM(DATA!Q55/SQRT(4))</f>
      </c>
      <c r="E55" s="11"/>
      <c r="K55" s="12"/>
    </row>
    <row r="56" spans="1:11" ht="18">
      <c r="A56" s="100" t="s">
        <v>264</v>
      </c>
      <c r="B56" s="89">
        <f>DATA!P56</f>
      </c>
      <c r="C56" s="89">
        <f>SUM(DATA!Q56/SQRT(4))</f>
      </c>
      <c r="E56" s="315"/>
      <c r="F56" s="313"/>
      <c r="G56" s="313"/>
      <c r="H56" s="313"/>
      <c r="I56" s="313"/>
      <c r="J56" s="313"/>
      <c r="K56" s="316"/>
    </row>
    <row r="57" spans="1:11">
      <c r="A57" s="100" t="s">
        <v>265</v>
      </c>
      <c r="B57" s="89">
        <f>DATA!P57</f>
      </c>
      <c r="C57" s="89">
        <f>SUM(DATA!Q57/SQRT(4))</f>
      </c>
      <c r="E57" s="11"/>
      <c r="K57" s="12"/>
    </row>
    <row r="58" spans="1:11">
      <c r="A58" s="100" t="s">
        <v>266</v>
      </c>
      <c r="B58" s="89">
        <f>DATA!P58</f>
      </c>
      <c r="C58" s="89">
        <f>SUM(DATA!Q58/SQRT(4))</f>
      </c>
      <c r="E58" s="11"/>
      <c r="K58" s="12"/>
    </row>
    <row r="59" spans="1:11" ht="15" thickBot="1">
      <c r="A59" s="101" t="s">
        <v>267</v>
      </c>
      <c r="B59" s="91">
        <f>DATA!P59</f>
      </c>
      <c r="C59" s="91">
        <f>SUM(DATA!Q59/SQRT(4))</f>
      </c>
      <c r="E59" s="11"/>
      <c r="K59" s="12"/>
    </row>
    <row r="60" spans="1:11" ht="15" thickBot="1">
      <c r="B60" s="95"/>
      <c r="C60" s="92"/>
      <c r="E60" s="11"/>
      <c r="K60" s="12"/>
    </row>
    <row r="61" spans="1:11" ht="16" thickBot="1">
      <c r="A61" s="97" t="s">
        <v>268</v>
      </c>
      <c r="B61" s="93" t="s">
        <v>269</v>
      </c>
      <c r="C61" s="92"/>
      <c r="E61" s="11"/>
      <c r="K61" s="12"/>
    </row>
    <row r="62" spans="1:11">
      <c r="A62" s="100" t="s">
        <v>270</v>
      </c>
      <c r="B62" s="89" t="s">
        <v>271</v>
      </c>
      <c r="C62" s="92"/>
      <c r="E62" s="11"/>
      <c r="K62" s="12"/>
    </row>
    <row r="63" spans="1:11" ht="15" thickBot="1">
      <c r="A63" s="101" t="s">
        <v>272</v>
      </c>
      <c r="B63" s="91" t="s">
        <v>271</v>
      </c>
      <c r="C63" s="92"/>
      <c r="E63" s="11"/>
      <c r="K63" s="12"/>
    </row>
    <row r="64" spans="1:11" ht="15" thickBot="1">
      <c r="B64" s="95"/>
      <c r="C64" s="92"/>
      <c r="E64" s="11"/>
      <c r="K64" s="12"/>
    </row>
    <row r="65" spans="1:11" ht="16" thickBot="1">
      <c r="A65" s="4" t="s">
        <v>273</v>
      </c>
      <c r="B65" s="93" t="s">
        <v>269</v>
      </c>
      <c r="C65" s="92"/>
      <c r="E65" s="11"/>
      <c r="K65" s="12"/>
    </row>
    <row r="66" spans="1:11">
      <c r="A66" s="102" t="s">
        <v>270</v>
      </c>
      <c r="B66" s="87" t="s">
        <v>271</v>
      </c>
      <c r="C66" s="92"/>
      <c r="E66" s="11"/>
      <c r="K66" s="12"/>
    </row>
    <row r="67" spans="1:11" ht="15" thickBot="1">
      <c r="A67" s="101" t="s">
        <v>272</v>
      </c>
      <c r="B67" s="91" t="s">
        <v>271</v>
      </c>
      <c r="C67" s="92"/>
      <c r="E67" s="11"/>
      <c r="K67" s="12"/>
    </row>
    <row r="68" spans="1:11" ht="15" thickBot="1">
      <c r="B68" s="95"/>
      <c r="C68" s="92"/>
      <c r="E68" s="11"/>
      <c r="K68" s="12"/>
    </row>
    <row r="69" spans="1:11" ht="16" thickBot="1">
      <c r="A69" s="4" t="s">
        <v>274</v>
      </c>
      <c r="B69" s="10" t="s">
        <v>269</v>
      </c>
      <c r="C69" s="92"/>
      <c r="E69" s="11"/>
      <c r="K69" s="12"/>
    </row>
    <row r="70" spans="1:11">
      <c r="A70" s="100" t="s">
        <v>275</v>
      </c>
      <c r="B70" s="103" t="s">
        <v>271</v>
      </c>
      <c r="C70" s="92"/>
      <c r="E70" s="11"/>
      <c r="K70" s="12"/>
    </row>
    <row r="71" spans="1:11" ht="15" thickBot="1">
      <c r="A71" s="101" t="s">
        <v>276</v>
      </c>
      <c r="B71" s="104" t="s">
        <v>271</v>
      </c>
      <c r="C71" s="92"/>
      <c r="E71" s="11"/>
      <c r="K71" s="12"/>
    </row>
    <row r="72" spans="1:11" ht="17.25" customHeight="1">
      <c r="A72" s="7"/>
      <c r="B72" s="6"/>
      <c r="C72" s="6"/>
      <c r="E72" s="11"/>
      <c r="K72" s="12"/>
    </row>
    <row r="73" spans="1:11">
      <c r="A73" s="5"/>
      <c r="B73" s="6"/>
      <c r="C73" s="6"/>
      <c r="E73" s="11"/>
      <c r="K73" s="12"/>
    </row>
    <row r="74" spans="1:11" ht="12.75" customHeight="1">
      <c r="A74" s="304" t="s">
        <v>277</v>
      </c>
      <c r="B74" s="305"/>
      <c r="C74" s="305"/>
      <c r="D74" s="305"/>
      <c r="E74" s="11"/>
      <c r="K74" s="12"/>
    </row>
    <row r="75" spans="1:11">
      <c r="A75" s="9"/>
      <c r="B75" s="9"/>
      <c r="C75" s="9"/>
      <c r="D75" s="9"/>
      <c r="E75" s="11"/>
      <c r="K75" s="12"/>
    </row>
    <row r="76" spans="1:11" ht="48.75" customHeight="1">
      <c r="A76" s="306"/>
      <c r="B76" s="307"/>
      <c r="C76" s="307"/>
      <c r="D76" s="307"/>
      <c r="E76" s="11"/>
      <c r="K76" s="12"/>
    </row>
    <row r="77" spans="1:11" ht="48.75" customHeight="1">
      <c r="A77" s="8"/>
      <c r="B77" s="8"/>
      <c r="C77" s="8"/>
      <c r="D77" s="8"/>
      <c r="E77" s="11"/>
      <c r="K77" s="12"/>
    </row>
    <row r="78" spans="1:11" ht="48.75" customHeight="1">
      <c r="A78" s="8"/>
      <c r="B78" s="8"/>
      <c r="C78" s="8"/>
      <c r="D78" s="8"/>
      <c r="E78" s="11"/>
      <c r="K78" s="12"/>
    </row>
    <row r="79" spans="1:11" ht="48.75" customHeight="1" thickBot="1">
      <c r="A79" s="8"/>
      <c r="B79" s="8"/>
      <c r="C79" s="8"/>
      <c r="D79" s="8"/>
      <c r="E79" s="13"/>
      <c r="F79" s="14"/>
      <c r="G79" s="14"/>
      <c r="H79" s="14"/>
      <c r="I79" s="14"/>
      <c r="J79" s="14"/>
      <c r="K79" s="15"/>
    </row>
    <row r="80" spans="1:11" ht="48.75" customHeight="1" thickBot="1">
      <c r="A80" s="8"/>
      <c r="B80" s="8"/>
      <c r="C80" s="8"/>
      <c r="D80" s="8"/>
    </row>
    <row r="81" spans="1:11" ht="48.75" customHeight="1">
      <c r="A81" s="8"/>
      <c r="B81" s="8"/>
      <c r="C81" s="8"/>
      <c r="D81" s="8"/>
      <c r="E81" s="292" t="s">
        <v>278</v>
      </c>
      <c r="F81" s="293"/>
      <c r="G81" s="293"/>
      <c r="H81" s="293"/>
      <c r="I81" s="293"/>
      <c r="J81" s="293"/>
      <c r="K81" s="294"/>
    </row>
    <row r="82" spans="1:11" ht="48.75" customHeight="1">
      <c r="A82" s="8"/>
      <c r="B82" s="8"/>
      <c r="C82" s="8"/>
      <c r="D82" s="8"/>
      <c r="E82" s="11"/>
      <c r="K82" s="12"/>
    </row>
    <row r="83" spans="1:11" ht="48.75" customHeight="1">
      <c r="A83" s="8"/>
      <c r="B83" s="8"/>
      <c r="C83" s="8"/>
      <c r="D83" s="8"/>
      <c r="E83" s="11"/>
      <c r="K83" s="12"/>
    </row>
    <row r="84" spans="1:11" ht="48.75" customHeight="1">
      <c r="A84" s="8"/>
      <c r="B84" s="8"/>
      <c r="C84" s="8"/>
      <c r="D84" s="8"/>
      <c r="E84" s="11"/>
      <c r="K84" s="12"/>
    </row>
    <row r="85" spans="1:11" ht="48.75" customHeight="1">
      <c r="A85" s="8"/>
      <c r="B85" s="8"/>
      <c r="C85" s="8"/>
      <c r="D85" s="8"/>
      <c r="E85" s="11"/>
      <c r="K85" s="12"/>
    </row>
    <row r="86" spans="1:11" ht="48.75" customHeight="1">
      <c r="A86" s="8"/>
      <c r="B86" s="8"/>
      <c r="C86" s="8"/>
      <c r="D86" s="8"/>
      <c r="E86" s="11"/>
      <c r="K86" s="12"/>
    </row>
    <row r="87" spans="1:11" ht="48.75" customHeight="1">
      <c r="A87" s="8"/>
      <c r="B87" s="8"/>
      <c r="C87" s="8"/>
      <c r="D87" s="8"/>
      <c r="E87" s="11"/>
      <c r="K87" s="12"/>
    </row>
    <row r="88" spans="1:11">
      <c r="A88" s="5"/>
      <c r="B88" s="6"/>
      <c r="C88" s="6"/>
      <c r="E88" s="11"/>
      <c r="K88" s="12"/>
    </row>
    <row r="89" spans="1:11">
      <c r="A89" s="5"/>
      <c r="B89" s="6"/>
      <c r="C89" s="6"/>
      <c r="E89" s="11"/>
      <c r="K89" s="12"/>
    </row>
    <row r="90" spans="1:11">
      <c r="A90" s="5"/>
      <c r="B90" s="6"/>
      <c r="C90" s="6"/>
      <c r="E90" s="11"/>
      <c r="K90" s="12"/>
    </row>
    <row r="91" spans="1:11" ht="33.75" customHeight="1">
      <c r="A91" s="5"/>
      <c r="B91" s="6"/>
      <c r="C91" s="6"/>
      <c r="E91" s="11"/>
      <c r="K91" s="12"/>
    </row>
    <row r="92" spans="1:11" ht="33.75" customHeight="1">
      <c r="A92" s="5"/>
      <c r="B92" s="6"/>
      <c r="C92" s="6"/>
      <c r="E92" s="22"/>
      <c r="F92" s="249"/>
      <c r="G92" s="249"/>
      <c r="H92" s="249"/>
      <c r="I92" s="249"/>
      <c r="J92" s="249"/>
      <c r="K92" s="23"/>
    </row>
    <row r="93" spans="1:11" ht="33.75" customHeight="1">
      <c r="A93" s="5"/>
      <c r="B93" s="6"/>
      <c r="C93" s="6"/>
      <c r="E93" s="22"/>
      <c r="F93" s="249"/>
      <c r="G93" s="249"/>
      <c r="H93" s="249"/>
      <c r="I93" s="249"/>
      <c r="J93" s="249"/>
      <c r="K93" s="23"/>
    </row>
    <row r="94" spans="1:11" ht="33.75" customHeight="1">
      <c r="A94" s="5"/>
      <c r="B94" s="6"/>
      <c r="C94" s="6"/>
      <c r="E94" s="22"/>
      <c r="F94" s="249"/>
      <c r="G94" s="249"/>
      <c r="H94" s="249"/>
      <c r="I94" s="249"/>
      <c r="J94" s="249"/>
      <c r="K94" s="23"/>
    </row>
    <row r="95" spans="1:11" ht="33.75" customHeight="1">
      <c r="A95" s="5"/>
      <c r="B95" s="6"/>
      <c r="C95" s="6"/>
      <c r="E95" s="22"/>
      <c r="F95" s="249"/>
      <c r="G95" s="249"/>
      <c r="H95" s="249"/>
      <c r="I95" s="249"/>
      <c r="J95" s="249"/>
      <c r="K95" s="23"/>
    </row>
    <row r="96" spans="1:11" ht="33.75" customHeight="1">
      <c r="A96" s="5"/>
      <c r="B96" s="6"/>
      <c r="C96" s="6"/>
      <c r="E96" s="22"/>
      <c r="F96" s="249"/>
      <c r="G96" s="249"/>
      <c r="H96" s="249"/>
      <c r="I96" s="249"/>
      <c r="J96" s="249"/>
      <c r="K96" s="23"/>
    </row>
    <row r="97" spans="1:11" ht="33.75" customHeight="1">
      <c r="A97" s="5"/>
      <c r="B97" s="6"/>
      <c r="C97" s="6"/>
      <c r="E97" s="22"/>
      <c r="F97" s="249"/>
      <c r="G97" s="249"/>
      <c r="H97" s="249"/>
      <c r="I97" s="249"/>
      <c r="J97" s="249"/>
      <c r="K97" s="23"/>
    </row>
    <row r="98" spans="1:11">
      <c r="A98" s="5"/>
      <c r="B98" s="6"/>
      <c r="C98" s="6"/>
      <c r="E98" s="11"/>
      <c r="K98" s="12"/>
    </row>
    <row r="99" spans="1:11">
      <c r="A99" s="5"/>
      <c r="B99" s="6"/>
      <c r="C99" s="6"/>
      <c r="E99" s="11"/>
      <c r="K99" s="12"/>
    </row>
    <row r="100" spans="1:11">
      <c r="A100" s="5"/>
      <c r="B100" s="6"/>
      <c r="C100" s="6"/>
      <c r="E100" s="11"/>
      <c r="K100" s="12"/>
    </row>
    <row r="101" spans="1:11">
      <c r="A101" s="5"/>
      <c r="B101" s="6"/>
      <c r="C101" s="6"/>
      <c r="E101" s="11"/>
      <c r="K101" s="12"/>
    </row>
    <row r="102" spans="1:11">
      <c r="A102" s="5"/>
      <c r="B102" s="6"/>
      <c r="C102" s="6"/>
      <c r="E102" s="11"/>
      <c r="K102" s="12"/>
    </row>
    <row r="103" spans="1:11">
      <c r="A103" s="5"/>
      <c r="B103" s="6"/>
      <c r="C103" s="6"/>
      <c r="E103" s="11"/>
      <c r="K103" s="12"/>
    </row>
    <row r="104" spans="1:11" ht="15" thickBot="1">
      <c r="A104" s="5"/>
      <c r="B104" s="6"/>
      <c r="C104" s="6"/>
      <c r="E104" s="13"/>
      <c r="F104" s="14"/>
      <c r="G104" s="14"/>
      <c r="H104" s="14"/>
      <c r="I104" s="14"/>
      <c r="J104" s="14"/>
      <c r="K104" s="15"/>
    </row>
    <row r="105" spans="1:11">
      <c r="A105" s="5"/>
      <c r="B105" s="6"/>
      <c r="C105" s="6"/>
    </row>
    <row r="106" spans="1:11">
      <c r="A106" s="5"/>
      <c r="B106" s="6"/>
      <c r="C106" s="6"/>
    </row>
    <row r="107" spans="1:11">
      <c r="A107" s="5"/>
      <c r="B107" s="6"/>
      <c r="C107" s="6"/>
    </row>
    <row r="108" spans="1:11">
      <c r="A108" s="5"/>
      <c r="B108" s="6"/>
      <c r="C108" s="6"/>
    </row>
    <row r="109" spans="1:11">
      <c r="A109" s="5"/>
      <c r="B109" s="6"/>
      <c r="C109" s="6"/>
    </row>
    <row r="110" spans="1:11">
      <c r="A110" s="5"/>
      <c r="B110" s="6"/>
      <c r="C110" s="6"/>
    </row>
    <row r="111" spans="1:11">
      <c r="A111" s="5"/>
      <c r="B111" s="6"/>
      <c r="C111" s="6"/>
    </row>
    <row r="112" spans="1:11">
      <c r="A112" s="5"/>
      <c r="B112" s="6"/>
      <c r="C112" s="6"/>
    </row>
    <row r="113" spans="1:3">
      <c r="A113" s="5"/>
      <c r="B113" s="6"/>
      <c r="C113" s="6"/>
    </row>
    <row r="114" spans="1:3">
      <c r="A114" s="5"/>
      <c r="B114" s="6"/>
      <c r="C114" s="6"/>
    </row>
    <row r="115" spans="1:3">
      <c r="A115" s="5"/>
      <c r="B115" s="6"/>
      <c r="C115" s="6"/>
    </row>
    <row r="116" spans="1:3">
      <c r="A116" s="5"/>
      <c r="B116" s="6"/>
      <c r="C116" s="6"/>
    </row>
    <row r="117" spans="1:3">
      <c r="A117" s="5"/>
      <c r="B117" s="6"/>
      <c r="C117" s="6"/>
    </row>
    <row r="118" spans="1:3">
      <c r="A118" s="5"/>
      <c r="B118" s="6"/>
      <c r="C118" s="6"/>
    </row>
    <row r="119" spans="1:3">
      <c r="A119" s="5"/>
      <c r="B119" s="6"/>
      <c r="C119" s="6"/>
    </row>
    <row r="120" spans="1:3">
      <c r="A120" s="5"/>
      <c r="B120" s="6"/>
      <c r="C120" s="6"/>
    </row>
    <row r="121" spans="1:3">
      <c r="A121" s="5"/>
      <c r="B121" s="6"/>
      <c r="C121" s="6"/>
    </row>
    <row r="122" spans="1:3">
      <c r="A122" s="5"/>
      <c r="B122" s="6"/>
      <c r="C122" s="6"/>
    </row>
    <row r="123" spans="1:3">
      <c r="A123" s="5"/>
      <c r="B123" s="6"/>
      <c r="C123" s="6"/>
    </row>
    <row r="124" spans="1:3">
      <c r="A124" s="5"/>
      <c r="B124" s="6"/>
      <c r="C124" s="6"/>
    </row>
    <row r="125" spans="1:3">
      <c r="A125" s="5"/>
      <c r="B125" s="6"/>
      <c r="C125" s="6"/>
    </row>
    <row r="126" spans="1:3">
      <c r="A126" s="5"/>
      <c r="B126" s="6"/>
      <c r="C126" s="6"/>
    </row>
    <row r="127" spans="1:3">
      <c r="A127" s="5"/>
      <c r="B127" s="6"/>
      <c r="C127" s="6"/>
    </row>
    <row r="128" spans="1:3">
      <c r="A128" s="5"/>
      <c r="B128" s="6"/>
      <c r="C128" s="6"/>
    </row>
    <row r="129" spans="1:3">
      <c r="A129" s="5"/>
      <c r="B129" s="6"/>
      <c r="C129" s="6"/>
    </row>
    <row r="130" spans="1:3">
      <c r="A130" s="5"/>
      <c r="B130" s="6"/>
      <c r="C130" s="6"/>
    </row>
    <row r="131" spans="1:3">
      <c r="A131" s="5"/>
      <c r="B131" s="6"/>
      <c r="C131" s="6"/>
    </row>
    <row r="132" spans="1:3">
      <c r="A132" s="5"/>
      <c r="B132" s="6"/>
      <c r="C132" s="6"/>
    </row>
    <row r="133" spans="1:3">
      <c r="A133" s="5"/>
      <c r="B133" s="6"/>
      <c r="C133" s="6"/>
    </row>
    <row r="134" spans="1:3">
      <c r="A134" s="5"/>
      <c r="B134" s="6"/>
      <c r="C134" s="6"/>
    </row>
    <row r="135" spans="1:3">
      <c r="A135" s="5"/>
      <c r="B135" s="6"/>
      <c r="C135" s="6"/>
    </row>
    <row r="136" spans="1:3">
      <c r="A136" s="5"/>
      <c r="B136" s="6"/>
      <c r="C136" s="6"/>
    </row>
    <row r="137" spans="1:3">
      <c r="A137" s="5"/>
      <c r="B137" s="6"/>
      <c r="C137" s="6"/>
    </row>
    <row r="138" spans="1:3">
      <c r="A138" s="5"/>
      <c r="B138" s="6"/>
      <c r="C138" s="6"/>
    </row>
    <row r="139" spans="1:3">
      <c r="A139" s="5"/>
      <c r="B139" s="6"/>
      <c r="C139" s="6"/>
    </row>
    <row r="140" spans="1:3">
      <c r="A140" s="5"/>
      <c r="B140" s="6"/>
      <c r="C140" s="6"/>
    </row>
    <row r="141" spans="1:3">
      <c r="A141" s="5"/>
      <c r="B141" s="6"/>
      <c r="C141" s="6"/>
    </row>
    <row r="142" spans="1:3">
      <c r="A142" s="5"/>
      <c r="B142" s="6"/>
      <c r="C142" s="6"/>
    </row>
    <row r="143" spans="1:3">
      <c r="A143" s="5"/>
      <c r="B143" s="6"/>
      <c r="C143" s="6"/>
    </row>
    <row r="144" spans="1:3">
      <c r="A144" s="5"/>
      <c r="B144" s="6"/>
      <c r="C144" s="6"/>
    </row>
    <row r="145" spans="1:3">
      <c r="A145" s="5"/>
      <c r="B145" s="6"/>
      <c r="C145" s="6"/>
    </row>
    <row r="146" spans="1:3">
      <c r="A146" s="5"/>
      <c r="B146" s="6"/>
      <c r="C146" s="6"/>
    </row>
    <row r="147" spans="1:3">
      <c r="A147" s="5"/>
      <c r="B147" s="6"/>
      <c r="C147" s="6"/>
    </row>
    <row r="148" spans="1:3">
      <c r="A148" s="5"/>
      <c r="B148" s="6"/>
      <c r="C148" s="6"/>
    </row>
    <row r="149" spans="1:3">
      <c r="A149" s="5"/>
      <c r="B149" s="6"/>
      <c r="C149" s="6"/>
    </row>
    <row r="150" spans="1:3">
      <c r="A150" s="5"/>
      <c r="B150" s="6"/>
      <c r="C150" s="6"/>
    </row>
    <row r="151" spans="1:3">
      <c r="A151" s="5"/>
      <c r="B151" s="6"/>
      <c r="C151" s="6"/>
    </row>
    <row r="152" spans="1:3">
      <c r="A152" s="5"/>
      <c r="B152" s="6"/>
      <c r="C152" s="6"/>
    </row>
    <row r="153" spans="1:3">
      <c r="A153" s="5"/>
      <c r="B153" s="6"/>
      <c r="C153" s="6"/>
    </row>
    <row r="154" spans="1:3">
      <c r="A154" s="5"/>
      <c r="B154" s="6"/>
      <c r="C154" s="6"/>
    </row>
    <row r="155" spans="1:3">
      <c r="A155" s="5"/>
      <c r="B155" s="6"/>
      <c r="C155" s="6"/>
    </row>
    <row r="156" spans="1:3">
      <c r="A156" s="5"/>
      <c r="B156" s="6"/>
      <c r="C156" s="6"/>
    </row>
    <row r="157" spans="1:3">
      <c r="A157" s="5"/>
      <c r="B157" s="6"/>
      <c r="C157" s="6"/>
    </row>
    <row r="158" spans="1:3">
      <c r="A158" s="5"/>
      <c r="B158" s="6"/>
      <c r="C158" s="6"/>
    </row>
    <row r="159" spans="1:3">
      <c r="A159" s="5"/>
      <c r="B159" s="6"/>
      <c r="C159" s="6"/>
    </row>
    <row r="160" spans="1:3">
      <c r="A160" s="5"/>
      <c r="B160" s="6"/>
      <c r="C160" s="6"/>
    </row>
    <row r="161" spans="1:3">
      <c r="A161" s="5"/>
      <c r="B161" s="6"/>
      <c r="C161" s="6"/>
    </row>
    <row r="162" spans="1:3">
      <c r="A162" s="5"/>
      <c r="B162" s="6"/>
      <c r="C162" s="6"/>
    </row>
    <row r="163" spans="1:3">
      <c r="A163" s="5"/>
      <c r="B163" s="6"/>
      <c r="C163" s="6"/>
    </row>
    <row r="164" spans="1:3">
      <c r="A164" s="5"/>
      <c r="B164" s="6"/>
      <c r="C164" s="6"/>
    </row>
    <row r="165" spans="1:3">
      <c r="A165" s="5"/>
      <c r="B165" s="6"/>
      <c r="C165" s="6"/>
    </row>
    <row r="166" spans="1:3">
      <c r="A166" s="5"/>
      <c r="B166" s="6"/>
      <c r="C166" s="6"/>
    </row>
    <row r="167" spans="1:3">
      <c r="A167" s="5"/>
      <c r="B167" s="6"/>
      <c r="C167" s="6"/>
    </row>
    <row r="168" spans="1:3">
      <c r="A168" s="5"/>
      <c r="B168" s="6"/>
      <c r="C168" s="6"/>
    </row>
    <row r="169" spans="1:3">
      <c r="A169" s="5"/>
      <c r="B169" s="6"/>
      <c r="C169" s="6"/>
    </row>
    <row r="170" spans="1:3">
      <c r="A170" s="5"/>
      <c r="B170" s="6"/>
      <c r="C170" s="6"/>
    </row>
    <row r="171" spans="1:3">
      <c r="A171" s="5"/>
      <c r="B171" s="6"/>
      <c r="C171" s="6"/>
    </row>
    <row r="172" spans="1:3">
      <c r="A172" s="5"/>
      <c r="B172" s="6"/>
      <c r="C172" s="6"/>
    </row>
    <row r="173" spans="1:3">
      <c r="A173" s="5"/>
      <c r="B173" s="6"/>
      <c r="C173" s="6"/>
    </row>
    <row r="174" spans="1:3">
      <c r="A174" s="5"/>
      <c r="B174" s="6"/>
      <c r="C174" s="6"/>
    </row>
    <row r="175" spans="1:3">
      <c r="A175" s="5"/>
      <c r="B175" s="6"/>
      <c r="C175" s="6"/>
    </row>
    <row r="176" spans="1:3">
      <c r="A176" s="5"/>
      <c r="B176" s="6"/>
      <c r="C176" s="6"/>
    </row>
    <row r="177" spans="1:3">
      <c r="A177" s="5"/>
      <c r="B177" s="6"/>
      <c r="C177" s="6"/>
    </row>
    <row r="178" spans="1:3">
      <c r="A178" s="5"/>
      <c r="B178" s="6"/>
      <c r="C178" s="6"/>
    </row>
    <row r="179" spans="1:3">
      <c r="A179" s="5"/>
      <c r="B179" s="6"/>
      <c r="C179" s="6"/>
    </row>
    <row r="180" spans="1:3">
      <c r="A180" s="5"/>
      <c r="B180" s="6"/>
      <c r="C180" s="6"/>
    </row>
    <row r="181" spans="1:3">
      <c r="A181" s="5"/>
      <c r="B181" s="6"/>
      <c r="C181" s="6"/>
    </row>
    <row r="182" spans="1:3">
      <c r="A182" s="5"/>
      <c r="B182" s="6"/>
      <c r="C182" s="6"/>
    </row>
    <row r="183" spans="1:3">
      <c r="A183" s="5"/>
      <c r="B183" s="6"/>
      <c r="C183" s="6"/>
    </row>
    <row r="184" spans="1:3">
      <c r="A184" s="5"/>
      <c r="B184" s="6"/>
      <c r="C184" s="6"/>
    </row>
    <row r="185" spans="1:3">
      <c r="A185" s="5"/>
      <c r="B185" s="6"/>
      <c r="C185" s="6"/>
    </row>
    <row r="186" spans="1:3">
      <c r="A186" s="5"/>
      <c r="B186" s="6"/>
      <c r="C186" s="6"/>
    </row>
    <row r="187" spans="1:3">
      <c r="A187" s="5"/>
      <c r="B187" s="6"/>
      <c r="C187" s="6"/>
    </row>
    <row r="188" spans="1:3">
      <c r="A188" s="5"/>
      <c r="B188" s="6"/>
      <c r="C188" s="6"/>
    </row>
    <row r="189" spans="1:3">
      <c r="A189" s="5"/>
      <c r="B189" s="6"/>
      <c r="C189" s="6"/>
    </row>
    <row r="190" spans="1:3">
      <c r="A190" s="5"/>
      <c r="B190" s="6"/>
      <c r="C190" s="6"/>
    </row>
    <row r="191" spans="1:3">
      <c r="A191" s="5"/>
      <c r="B191" s="6"/>
      <c r="C191" s="6"/>
    </row>
    <row r="192" spans="1:3">
      <c r="A192" s="5"/>
      <c r="B192" s="6"/>
      <c r="C192" s="6"/>
    </row>
    <row r="193" spans="1:3">
      <c r="A193" s="5"/>
      <c r="B193" s="6"/>
      <c r="C193" s="6"/>
    </row>
    <row r="194" spans="1:3">
      <c r="A194" s="5"/>
      <c r="B194" s="6"/>
      <c r="C194" s="6"/>
    </row>
    <row r="195" spans="1:3">
      <c r="A195" s="5"/>
      <c r="B195" s="6"/>
      <c r="C195" s="6"/>
    </row>
    <row r="196" spans="1:3">
      <c r="A196" s="5"/>
      <c r="B196" s="6"/>
      <c r="C196" s="6"/>
    </row>
    <row r="197" spans="1:3">
      <c r="A197" s="5"/>
      <c r="B197" s="6"/>
      <c r="C197" s="6"/>
    </row>
    <row r="198" spans="1:3">
      <c r="A198" s="5"/>
      <c r="B198" s="6"/>
      <c r="C198" s="6"/>
    </row>
    <row r="199" spans="1:3">
      <c r="A199" s="5"/>
      <c r="B199" s="6"/>
      <c r="C199" s="6"/>
    </row>
    <row r="200" spans="1:3">
      <c r="A200" s="5"/>
      <c r="B200" s="6"/>
      <c r="C200" s="6"/>
    </row>
    <row r="201" spans="1:3">
      <c r="A201" s="5"/>
      <c r="B201" s="6"/>
      <c r="C201" s="6"/>
    </row>
    <row r="202" spans="1:3">
      <c r="A202" s="5"/>
      <c r="B202" s="6"/>
      <c r="C202" s="6"/>
    </row>
    <row r="203" spans="1:3">
      <c r="A203" s="5"/>
      <c r="B203" s="6"/>
      <c r="C203" s="6"/>
    </row>
    <row r="204" spans="1:3">
      <c r="A204" s="5"/>
      <c r="B204" s="6"/>
      <c r="C204" s="6"/>
    </row>
    <row r="205" spans="1:3">
      <c r="A205" s="5"/>
      <c r="B205" s="6"/>
      <c r="C205" s="6"/>
    </row>
    <row r="206" spans="1:3">
      <c r="A206" s="5"/>
      <c r="B206" s="6"/>
      <c r="C206" s="6"/>
    </row>
    <row r="207" spans="1:3">
      <c r="A207" s="5"/>
      <c r="B207" s="6"/>
      <c r="C207" s="6"/>
    </row>
    <row r="208" spans="1:3">
      <c r="A208" s="5"/>
      <c r="B208" s="6"/>
      <c r="C208" s="6"/>
    </row>
    <row r="209" spans="1:3">
      <c r="A209" s="5"/>
      <c r="B209" s="6"/>
      <c r="C209" s="6"/>
    </row>
    <row r="210" spans="1:3">
      <c r="A210" s="5"/>
      <c r="B210" s="6"/>
      <c r="C210" s="6"/>
    </row>
    <row r="211" spans="1:3">
      <c r="A211" s="5"/>
      <c r="B211" s="6"/>
      <c r="C211" s="6"/>
    </row>
    <row r="212" spans="1:3">
      <c r="A212" s="5"/>
      <c r="B212" s="6"/>
      <c r="C212" s="6"/>
    </row>
    <row r="213" spans="1:3">
      <c r="A213" s="5"/>
      <c r="B213" s="6"/>
      <c r="C213" s="6"/>
    </row>
    <row r="214" spans="1:3">
      <c r="A214" s="5"/>
      <c r="B214" s="6"/>
      <c r="C214" s="6"/>
    </row>
    <row r="215" spans="1:3">
      <c r="A215" s="5"/>
      <c r="B215" s="6"/>
      <c r="C215" s="6"/>
    </row>
    <row r="216" spans="1:3">
      <c r="A216" s="5"/>
      <c r="B216" s="6"/>
      <c r="C216" s="6"/>
    </row>
    <row r="217" spans="1:3">
      <c r="A217" s="5"/>
      <c r="B217" s="6"/>
      <c r="C217" s="6"/>
    </row>
    <row r="218" spans="1:3">
      <c r="A218" s="5"/>
      <c r="B218" s="6"/>
      <c r="C218" s="6"/>
    </row>
    <row r="219" spans="1:3">
      <c r="A219" s="5"/>
      <c r="B219" s="6"/>
      <c r="C219" s="6"/>
    </row>
    <row r="220" spans="1:3">
      <c r="A220" s="5"/>
      <c r="B220" s="6"/>
      <c r="C220" s="6"/>
    </row>
    <row r="221" spans="1:3">
      <c r="A221" s="5"/>
      <c r="B221" s="6"/>
      <c r="C221" s="6"/>
    </row>
    <row r="222" spans="1:3">
      <c r="A222" s="5"/>
      <c r="B222" s="6"/>
      <c r="C222" s="6"/>
    </row>
    <row r="223" spans="1:3">
      <c r="A223" s="5"/>
      <c r="B223" s="6"/>
      <c r="C223" s="6"/>
    </row>
    <row r="224" spans="1:3">
      <c r="A224" s="5"/>
      <c r="B224" s="6"/>
      <c r="C224" s="6"/>
    </row>
    <row r="225" spans="1:3">
      <c r="A225" s="5"/>
      <c r="B225" s="6"/>
      <c r="C225" s="6"/>
    </row>
    <row r="226" spans="1:3">
      <c r="A226" s="5"/>
      <c r="B226" s="6"/>
      <c r="C226" s="6"/>
    </row>
    <row r="227" spans="1:3">
      <c r="A227" s="5"/>
      <c r="B227" s="6"/>
      <c r="C227" s="6"/>
    </row>
    <row r="228" spans="1:3">
      <c r="A228" s="5"/>
      <c r="B228" s="6"/>
      <c r="C228" s="6"/>
    </row>
    <row r="229" spans="1:3">
      <c r="A229" s="5"/>
      <c r="B229" s="6"/>
      <c r="C229" s="6"/>
    </row>
    <row r="230" spans="1:3">
      <c r="A230" s="5"/>
      <c r="B230" s="6"/>
      <c r="C230" s="6"/>
    </row>
    <row r="231" spans="1:3">
      <c r="A231" s="5"/>
      <c r="B231" s="6"/>
      <c r="C231" s="6"/>
    </row>
    <row r="232" spans="1:3">
      <c r="A232" s="5"/>
      <c r="B232" s="6"/>
      <c r="C232" s="6"/>
    </row>
    <row r="233" spans="1:3">
      <c r="A233" s="5"/>
      <c r="B233" s="6"/>
      <c r="C233" s="6"/>
    </row>
    <row r="234" spans="1:3">
      <c r="A234" s="5"/>
      <c r="B234" s="6"/>
      <c r="C234" s="6"/>
    </row>
    <row r="235" spans="1:3">
      <c r="A235" s="5"/>
      <c r="B235" s="6"/>
      <c r="C235" s="6"/>
    </row>
    <row r="236" spans="1:3">
      <c r="A236" s="5"/>
      <c r="B236" s="6"/>
      <c r="C236" s="6"/>
    </row>
    <row r="237" spans="1:3">
      <c r="A237" s="5"/>
      <c r="B237" s="6"/>
      <c r="C237" s="6"/>
    </row>
    <row r="238" spans="1:3">
      <c r="A238" s="5"/>
      <c r="B238" s="6"/>
      <c r="C238" s="6"/>
    </row>
    <row r="239" spans="1:3">
      <c r="A239" s="5"/>
      <c r="B239" s="6"/>
      <c r="C239" s="6"/>
    </row>
    <row r="240" spans="1:3">
      <c r="A240" s="5"/>
      <c r="B240" s="6"/>
      <c r="C240" s="6"/>
    </row>
    <row r="241" spans="1:3">
      <c r="A241" s="5"/>
      <c r="B241" s="6"/>
      <c r="C241" s="6"/>
    </row>
    <row r="242" spans="1:3">
      <c r="A242" s="5"/>
      <c r="B242" s="6"/>
      <c r="C242" s="6"/>
    </row>
  </sheetData>
  <sheetProtection formatCells="0" deleteColumns="0" deleteRows="0" selectLockedCells="1" sort="0" autoFilter="0"/>
  <mergeCells count="11">
    <mergeCell ref="E81:K81"/>
    <mergeCell ref="E7:K7"/>
    <mergeCell ref="E6:K6"/>
    <mergeCell ref="E1:K1"/>
    <mergeCell ref="A74:D74"/>
    <mergeCell ref="A76:D76"/>
    <mergeCell ref="A2:C2"/>
    <mergeCell ref="E2:K2"/>
    <mergeCell ref="E3:K3"/>
    <mergeCell ref="E49:K49"/>
    <mergeCell ref="E56:K56"/>
  </mergeCells>
  <phoneticPr fontId="0"/>
  <pageMargins left="0.74803149606299213" right="0.74803149606299213" top="0.38" bottom="0.57999999999999996" header="0.27" footer="0.51181102362204722"/>
  <pageSetup orientation="portrait"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BT1000"/>
  <sheetViews>
    <sheetView topLeftCell="BI1" zoomScale="125" workbookViewId="0">
      <selection activeCell="AK2" sqref="AK2"/>
    </sheetView>
  </sheetViews>
  <sheetFormatPr baseColWidth="10" defaultColWidth="17.33203125" defaultRowHeight="15" customHeight="1"/>
  <cols>
    <col min="1" max="5" width="8.83203125" style="107" customWidth="1"/>
    <col min="6" max="6" width="11.6640625" style="107" customWidth="1"/>
    <col min="7" max="43" width="8.83203125" style="107" customWidth="1"/>
    <col min="44" max="44" width="10.33203125" style="107" customWidth="1"/>
    <col min="45" max="72" width="8.83203125" style="107" customWidth="1"/>
    <col min="73" max="16384" width="17.33203125" style="107"/>
  </cols>
  <sheetData>
    <row r="1" spans="1:72" ht="47" customHeight="1">
      <c r="A1" s="105" t="s">
        <v>143</v>
      </c>
      <c r="B1" s="105" t="s">
        <v>144</v>
      </c>
      <c r="C1" s="105" t="s">
        <v>145</v>
      </c>
      <c r="D1" s="105" t="s">
        <v>146</v>
      </c>
      <c r="E1" s="105" t="s">
        <v>147</v>
      </c>
      <c r="F1" s="105" t="s">
        <v>148</v>
      </c>
      <c r="G1" s="105" t="s">
        <v>149</v>
      </c>
      <c r="H1" s="105" t="s">
        <v>150</v>
      </c>
      <c r="I1" s="105" t="s">
        <v>151</v>
      </c>
      <c r="J1" s="105" t="s">
        <v>152</v>
      </c>
      <c r="K1" s="105" t="s">
        <v>153</v>
      </c>
      <c r="L1" s="105" t="s">
        <v>154</v>
      </c>
      <c r="M1" s="105" t="s">
        <v>155</v>
      </c>
      <c r="N1" s="105" t="s">
        <v>156</v>
      </c>
      <c r="O1" s="105" t="s">
        <v>157</v>
      </c>
      <c r="P1" s="105" t="s">
        <v>158</v>
      </c>
      <c r="Q1" s="105" t="s">
        <v>159</v>
      </c>
      <c r="R1" s="105" t="s">
        <v>160</v>
      </c>
      <c r="S1" s="105" t="s">
        <v>161</v>
      </c>
      <c r="T1" s="105" t="s">
        <v>162</v>
      </c>
      <c r="U1" s="105" t="s">
        <v>163</v>
      </c>
      <c r="V1" s="105" t="s">
        <v>164</v>
      </c>
      <c r="W1" s="105" t="s">
        <v>165</v>
      </c>
      <c r="X1" s="105" t="s">
        <v>166</v>
      </c>
      <c r="Y1" s="105" t="s">
        <v>167</v>
      </c>
      <c r="Z1" s="105" t="s">
        <v>168</v>
      </c>
      <c r="AA1" s="105" t="s">
        <v>169</v>
      </c>
      <c r="AB1" s="105" t="s">
        <v>170</v>
      </c>
      <c r="AC1" s="105" t="s">
        <v>171</v>
      </c>
      <c r="AD1" s="105" t="s">
        <v>172</v>
      </c>
      <c r="AE1" s="105" t="s">
        <v>173</v>
      </c>
      <c r="AF1" s="105" t="s">
        <v>174</v>
      </c>
      <c r="AG1" s="105" t="s">
        <v>175</v>
      </c>
      <c r="AH1" s="105" t="s">
        <v>176</v>
      </c>
      <c r="AI1" s="105" t="s">
        <v>177</v>
      </c>
      <c r="AJ1" s="105" t="s">
        <v>178</v>
      </c>
      <c r="AK1" s="105" t="s">
        <v>179</v>
      </c>
      <c r="AL1" s="105" t="s">
        <v>180</v>
      </c>
      <c r="AM1" s="105" t="s">
        <v>181</v>
      </c>
      <c r="AN1" s="105" t="s">
        <v>182</v>
      </c>
      <c r="AO1" s="105" t="s">
        <v>183</v>
      </c>
      <c r="AP1" s="105" t="s">
        <v>184</v>
      </c>
      <c r="AQ1" s="105" t="s">
        <v>185</v>
      </c>
      <c r="AR1" s="105" t="s">
        <v>186</v>
      </c>
      <c r="AS1" s="105" t="s">
        <v>187</v>
      </c>
      <c r="AT1" s="105" t="s">
        <v>188</v>
      </c>
      <c r="AU1" s="105" t="s">
        <v>189</v>
      </c>
      <c r="AV1" s="105" t="s">
        <v>190</v>
      </c>
      <c r="AW1" s="105" t="s">
        <v>191</v>
      </c>
      <c r="AX1" s="105" t="s">
        <v>192</v>
      </c>
      <c r="AY1" s="105" t="s">
        <v>193</v>
      </c>
      <c r="AZ1" s="105" t="s">
        <v>194</v>
      </c>
      <c r="BA1" s="105" t="s">
        <v>195</v>
      </c>
      <c r="BB1" s="105" t="s">
        <v>196</v>
      </c>
      <c r="BC1" s="105" t="s">
        <v>197</v>
      </c>
      <c r="BD1" s="105" t="s">
        <v>198</v>
      </c>
      <c r="BE1" s="105" t="s">
        <v>199</v>
      </c>
      <c r="BF1" s="105" t="s">
        <v>200</v>
      </c>
      <c r="BG1" s="105" t="s">
        <v>201</v>
      </c>
      <c r="BH1" s="105" t="s">
        <v>202</v>
      </c>
      <c r="BI1" s="105" t="s">
        <v>203</v>
      </c>
      <c r="BJ1" s="105" t="s">
        <v>204</v>
      </c>
      <c r="BK1" s="105" t="s">
        <v>205</v>
      </c>
      <c r="BL1" s="105" t="s">
        <v>206</v>
      </c>
      <c r="BM1" s="105" t="s">
        <v>207</v>
      </c>
      <c r="BN1" s="105" t="s">
        <v>208</v>
      </c>
      <c r="BO1" s="105" t="s">
        <v>209</v>
      </c>
      <c r="BP1" s="105" t="s">
        <v>210</v>
      </c>
      <c r="BQ1" s="105" t="s">
        <v>211</v>
      </c>
      <c r="BR1" s="105" t="s">
        <v>162</v>
      </c>
      <c r="BS1" s="105" t="s">
        <v>212</v>
      </c>
      <c r="BT1" s="106"/>
    </row>
    <row r="2" spans="1:72" ht="17.25" customHeight="1">
      <c r="A2" s="105">
        <f>YEAR(DATA!B3)</f>
      </c>
      <c r="B2" s="105">
        <f>MONTH(DATA!$B$3)</f>
      </c>
      <c r="C2" s="105">
        <f>DAY(DATA!$B$3)</f>
      </c>
      <c r="F2" s="105">
        <f>DATA!B$1</f>
      </c>
      <c r="G2" s="105"/>
      <c r="H2" s="105"/>
      <c r="I2" s="105">
        <f>DATA!B2</f>
      </c>
      <c r="J2" s="105"/>
      <c r="K2" s="105"/>
      <c r="L2" s="105"/>
      <c r="M2" s="105"/>
      <c r="N2" s="105"/>
      <c r="O2" s="105"/>
      <c r="P2" s="105"/>
      <c r="Q2" s="105"/>
      <c r="R2" s="105"/>
      <c r="S2" s="105"/>
      <c r="T2" s="106"/>
      <c r="U2" s="106"/>
      <c r="V2" s="105"/>
      <c r="W2" s="105">
        <f>DATA!B10</f>
      </c>
      <c r="X2" s="105">
        <f>DATA!B11</f>
      </c>
      <c r="Y2" s="105">
        <f>DATA!B12</f>
      </c>
      <c r="Z2" s="105">
        <f>DATA!B13</f>
      </c>
      <c r="AA2" s="105">
        <f>DATA!B14</f>
      </c>
      <c r="AB2" s="105">
        <f>DATA!B15</f>
      </c>
      <c r="AC2" s="105">
        <f>DATA!B16</f>
      </c>
      <c r="AD2" s="105">
        <f>DATA!B17</f>
      </c>
      <c r="AE2" s="105">
        <f>DATA!B18</f>
      </c>
      <c r="AF2" s="105">
        <f>DATA!B19</f>
      </c>
      <c r="AG2" s="105">
        <f>DATA!B20</f>
      </c>
      <c r="AH2" s="105">
        <f>DATA!B21</f>
      </c>
      <c r="AI2" s="105">
        <f>DATA!B23</f>
      </c>
      <c r="AJ2" s="105">
        <f>DATA!B24</f>
      </c>
      <c r="AK2" s="105">
        <f>DATA!B25</f>
      </c>
      <c r="AL2" s="105">
        <f>DATA!B26</f>
      </c>
      <c r="AM2" s="105">
        <f>DATA!B27</f>
      </c>
      <c r="AN2" s="105"/>
      <c r="AO2" s="105">
        <f>DATA!$B$7&amp;"、"&amp;DATA!$E$7</f>
      </c>
      <c r="AP2" s="105">
        <f>DATA!B33</f>
      </c>
      <c r="AQ2" s="105">
        <f>DATA!B34</f>
      </c>
      <c r="AR2" s="105">
        <f>DATA!B35</f>
      </c>
      <c r="AS2" s="105">
        <f>DATA!B36</f>
      </c>
      <c r="AT2" s="105">
        <f>DATA!B37</f>
      </c>
      <c r="AU2" s="105">
        <f>DATA!B38</f>
      </c>
      <c r="AV2" s="105">
        <f>DATA!B39</f>
      </c>
      <c r="AW2" s="105">
        <f>DATA!B40</f>
      </c>
      <c r="AX2" s="105">
        <f>DATA!B41</f>
      </c>
      <c r="AY2" s="105">
        <f>DATA!B44</f>
      </c>
      <c r="AZ2" s="105">
        <f>DATA!B45</f>
      </c>
      <c r="BA2" s="105">
        <f>DATA!B46</f>
      </c>
      <c r="BB2" s="105">
        <f>DATA!B47</f>
      </c>
      <c r="BC2" s="105">
        <f>DATA!B48</f>
      </c>
      <c r="BD2" s="105">
        <f>DATA!B49</f>
      </c>
      <c r="BE2" s="106">
        <f>DATA!K55</f>
      </c>
      <c r="BF2" s="106">
        <f>DATA!K56</f>
      </c>
      <c r="BG2" s="106">
        <f>DATA!K57</f>
      </c>
      <c r="BH2" s="106">
        <f>DATA!K58</f>
      </c>
      <c r="BI2" s="106">
        <f>DATA!K59</f>
      </c>
      <c r="BJ2" s="106">
        <f>DATA!B68</f>
      </c>
      <c r="BK2" s="106">
        <f>DATA!B69</f>
      </c>
      <c r="BL2" s="108">
        <f>DATA!B71</f>
      </c>
      <c r="BM2" s="108">
        <f>DATA!B72</f>
      </c>
      <c r="BN2" s="106">
        <f>DATA!B61</f>
      </c>
      <c r="BO2" s="106">
        <f>DATA!B62</f>
      </c>
      <c r="BP2" s="106">
        <f>DATA!B63</f>
      </c>
      <c r="BQ2" s="106">
        <f>DATA!B64</f>
      </c>
      <c r="BR2" s="106">
        <f>DATA!B66</f>
      </c>
      <c r="BS2" s="105">
        <f>DATA!$B$30&amp;"、"&amp;DATA!$E$30</f>
      </c>
      <c r="BT2" s="106"/>
    </row>
    <row r="3" spans="1:72" ht="17.25" customHeight="1">
      <c r="A3" s="105">
        <f>YEAR(DATA!B3)</f>
      </c>
      <c r="B3" s="105">
        <f>MONTH(DATA!$B$3)</f>
      </c>
      <c r="C3" s="105">
        <f>DAY(DATA!$B$3)</f>
      </c>
      <c r="F3" s="105">
        <f>DATA!B$1</f>
      </c>
      <c r="G3" s="105"/>
      <c r="H3" s="105"/>
      <c r="I3" s="105">
        <f>DATA!B2</f>
      </c>
      <c r="V3" s="106"/>
      <c r="W3" s="106">
        <f>DATA!C10</f>
      </c>
      <c r="X3" s="105">
        <f>DATA!C11</f>
      </c>
      <c r="Y3" s="105">
        <f>DATA!C12</f>
      </c>
      <c r="Z3" s="105">
        <f>DATA!C13</f>
      </c>
      <c r="AA3" s="106">
        <f>DATA!C14</f>
      </c>
      <c r="AB3" s="106">
        <f>DATA!C15</f>
      </c>
      <c r="AC3" s="106">
        <f>DATA!C16</f>
      </c>
      <c r="AD3" s="106">
        <f>DATA!C17</f>
      </c>
      <c r="AE3" s="106">
        <f>DATA!C18</f>
      </c>
      <c r="AF3" s="106">
        <f>DATA!C19</f>
      </c>
      <c r="AG3" s="106">
        <f>DATA!C20</f>
      </c>
      <c r="AH3" s="106">
        <f>DATA!C21</f>
      </c>
      <c r="AI3" s="105">
        <f>DATA!C23</f>
      </c>
      <c r="AJ3" s="106">
        <f>DATA!C24</f>
      </c>
      <c r="AK3" s="106">
        <f>DATA!C25</f>
      </c>
      <c r="AL3" s="106">
        <f>DATA!C26</f>
      </c>
      <c r="AM3" s="106">
        <f>DATA!C27</f>
      </c>
      <c r="AO3" s="105">
        <f>DATA!$B$7&amp;"、"&amp;DATA!$E$7</f>
      </c>
      <c r="AP3" s="106">
        <f>DATA!C33</f>
      </c>
      <c r="AQ3" s="106">
        <f>DATA!C34</f>
      </c>
      <c r="AR3" s="106">
        <f>DATA!C35</f>
      </c>
      <c r="AS3" s="106">
        <f>DATA!C36</f>
      </c>
      <c r="AT3" s="106">
        <f>DATA!C37</f>
      </c>
      <c r="AU3" s="106">
        <f>DATA!C38</f>
      </c>
      <c r="AV3" s="106">
        <f>DATA!C39</f>
      </c>
      <c r="AW3" s="106">
        <f>DATA!C40</f>
      </c>
      <c r="AX3" s="106">
        <f>DATA!C41</f>
      </c>
      <c r="AY3" s="106">
        <f>DATA!C44</f>
      </c>
      <c r="AZ3" s="106">
        <f>DATA!C45</f>
      </c>
      <c r="BA3" s="106">
        <f>DATA!C46</f>
      </c>
      <c r="BB3" s="106">
        <f>DATA!C47</f>
      </c>
      <c r="BC3" s="106">
        <f>DATA!C48</f>
      </c>
      <c r="BD3" s="106">
        <f>DATA!C49</f>
      </c>
      <c r="BE3" s="222">
        <f>DATA!L55</f>
      </c>
      <c r="BF3" s="106">
        <f>DATA!L56</f>
      </c>
      <c r="BG3" s="106">
        <f>DATA!L57</f>
      </c>
      <c r="BH3" s="106">
        <f>DATA!L58</f>
      </c>
      <c r="BI3" s="106">
        <f>DATA!L59</f>
      </c>
      <c r="BJ3" s="106">
        <f>DATA!C68</f>
      </c>
      <c r="BK3" s="106">
        <f>DATA!C69</f>
      </c>
      <c r="BL3" s="108">
        <f>DATA!C71</f>
      </c>
      <c r="BM3" s="108">
        <f>DATA!C72</f>
      </c>
      <c r="BN3" s="106">
        <f>DATA!C61</f>
      </c>
      <c r="BO3" s="106">
        <f>DATA!C62</f>
      </c>
      <c r="BP3" s="106">
        <f>DATA!C63</f>
      </c>
      <c r="BQ3" s="106">
        <f>DATA!C64</f>
      </c>
      <c r="BR3" s="106">
        <f>DATA!B66</f>
      </c>
      <c r="BS3" s="105">
        <f>DATA!$B$30&amp;"、"&amp;DATA!$E$30</f>
      </c>
    </row>
    <row r="4" spans="1:72" ht="14.25" customHeight="1">
      <c r="A4" s="105">
        <f>YEAR(DATA!B3)</f>
      </c>
      <c r="B4" s="105">
        <f>MONTH(DATA!$B$3)</f>
      </c>
      <c r="C4" s="105">
        <f>DAY(DATA!$B$3)</f>
      </c>
      <c r="F4" s="105">
        <f>DATA!B$1</f>
      </c>
      <c r="I4" s="106">
        <f>DATA!B2</f>
      </c>
      <c r="V4" s="106"/>
      <c r="W4" s="106">
        <f>DATA!D10</f>
      </c>
      <c r="X4" s="105">
        <f>DATA!D11</f>
      </c>
      <c r="Y4" s="105">
        <f>DATA!D12</f>
      </c>
      <c r="Z4" s="105">
        <f>DATA!D13</f>
      </c>
      <c r="AA4" s="106">
        <f>DATA!D14</f>
      </c>
      <c r="AB4" s="106">
        <f>DATA!D15</f>
      </c>
      <c r="AC4" s="106">
        <f>DATA!D16</f>
      </c>
      <c r="AD4" s="106">
        <f>DATA!D17</f>
      </c>
      <c r="AE4" s="106">
        <f>DATA!D18</f>
      </c>
      <c r="AF4" s="106">
        <f>DATA!D19</f>
      </c>
      <c r="AG4" s="106">
        <f>DATA!D20</f>
      </c>
      <c r="AH4" s="106">
        <f>DATA!D21</f>
      </c>
      <c r="AI4" s="105">
        <f>DATA!D23</f>
      </c>
      <c r="AJ4" s="106">
        <f>DATA!D24</f>
      </c>
      <c r="AK4" s="106">
        <f>DATA!D25</f>
      </c>
      <c r="AL4" s="106">
        <f>DATA!D26</f>
      </c>
      <c r="AM4" s="106">
        <f>DATA!D27</f>
      </c>
      <c r="AO4" s="105">
        <f>DATA!$B$7&amp;"、"&amp;DATA!$E$7</f>
      </c>
      <c r="AP4" s="106">
        <f>DATA!D33</f>
      </c>
      <c r="AQ4" s="106">
        <f>DATA!D34</f>
      </c>
      <c r="AR4" s="106">
        <f>DATA!D35</f>
      </c>
      <c r="AS4" s="106">
        <f>DATA!D36</f>
      </c>
      <c r="AT4" s="106">
        <f>DATA!D37</f>
      </c>
      <c r="AU4" s="106">
        <f>DATA!D38</f>
      </c>
      <c r="AV4" s="106">
        <f>DATA!D39</f>
      </c>
      <c r="AW4" s="106">
        <f>DATA!D40</f>
      </c>
      <c r="AX4" s="106">
        <f>DATA!D41</f>
      </c>
      <c r="AY4" s="106">
        <f>DATA!D44</f>
      </c>
      <c r="AZ4" s="106">
        <f>DATA!D45</f>
      </c>
      <c r="BA4" s="106">
        <f>DATA!D46</f>
      </c>
      <c r="BB4" s="106">
        <f>DATA!D47</f>
      </c>
      <c r="BC4" s="106">
        <f>DATA!D48</f>
      </c>
      <c r="BD4" s="106">
        <f>DATA!D49</f>
      </c>
      <c r="BE4" s="106">
        <f>DATA!M55</f>
      </c>
      <c r="BF4" s="106">
        <f>DATA!M56</f>
      </c>
      <c r="BG4" s="106">
        <f>DATA!M57</f>
      </c>
      <c r="BH4" s="106">
        <f>DATA!M58</f>
      </c>
      <c r="BI4" s="106">
        <f>DATA!M59</f>
      </c>
      <c r="BJ4" s="106">
        <f>DATA!D68</f>
      </c>
      <c r="BK4" s="106">
        <f>DATA!D69</f>
      </c>
      <c r="BL4" s="108">
        <f>DATA!D71</f>
      </c>
      <c r="BM4" s="108">
        <f>DATA!D72</f>
      </c>
      <c r="BN4" s="106">
        <f>DATA!D61</f>
      </c>
      <c r="BO4" s="106">
        <f>DATA!D62</f>
      </c>
      <c r="BP4" s="106">
        <f>DATA!D63</f>
      </c>
      <c r="BQ4" s="106">
        <f>DATA!D64</f>
      </c>
      <c r="BR4" s="106">
        <f>DATA!B66</f>
      </c>
      <c r="BS4" s="105">
        <f>DATA!$B$30&amp;"、"&amp;DATA!$E$30</f>
      </c>
    </row>
    <row r="5" spans="1:72" ht="14.25" customHeight="1">
      <c r="A5" s="105">
        <f>YEAR(DATA!B3)</f>
      </c>
      <c r="B5" s="105">
        <f>MONTH(DATA!$B$3)</f>
      </c>
      <c r="C5" s="105">
        <f>DAY(DATA!$B$3)</f>
      </c>
      <c r="F5" s="105">
        <f>DATA!B$1</f>
      </c>
      <c r="I5" s="106">
        <f>DATA!B2</f>
      </c>
      <c r="V5" s="106"/>
      <c r="W5" s="106">
        <f>DATA!E10</f>
      </c>
      <c r="X5" s="105">
        <f>DATA!E11</f>
      </c>
      <c r="Y5" s="105">
        <f>DATA!E12</f>
      </c>
      <c r="Z5" s="105">
        <f>DATA!E13</f>
      </c>
      <c r="AA5" s="106">
        <f>DATA!E14</f>
      </c>
      <c r="AB5" s="106">
        <f>DATA!E15</f>
      </c>
      <c r="AC5" s="106">
        <f>DATA!E16</f>
      </c>
      <c r="AD5" s="106">
        <f>DATA!E17</f>
      </c>
      <c r="AE5" s="106">
        <f>DATA!E18</f>
      </c>
      <c r="AF5" s="106">
        <f>DATA!E19</f>
      </c>
      <c r="AG5" s="106">
        <f>DATA!E20</f>
      </c>
      <c r="AH5" s="106">
        <f>DATA!E21</f>
      </c>
      <c r="AI5" s="105">
        <f>DATA!E23</f>
      </c>
      <c r="AJ5" s="106">
        <f>DATA!E24</f>
      </c>
      <c r="AK5" s="106">
        <f>DATA!E25</f>
      </c>
      <c r="AL5" s="106">
        <f>DATA!E26</f>
      </c>
      <c r="AM5" s="106">
        <f>DATA!E27</f>
      </c>
      <c r="AO5" s="105">
        <f>DATA!$B$7&amp;"、"&amp;DATA!$E$7</f>
      </c>
      <c r="AP5" s="106">
        <f>DATA!E33</f>
      </c>
      <c r="AQ5" s="106">
        <f>DATA!E34</f>
      </c>
      <c r="AR5" s="106">
        <f>DATA!E35</f>
      </c>
      <c r="AS5" s="106">
        <f>DATA!E36</f>
      </c>
      <c r="AT5" s="106">
        <f>DATA!E37</f>
      </c>
      <c r="AU5" s="106">
        <f>DATA!E38</f>
      </c>
      <c r="AV5" s="106">
        <f>DATA!E39</f>
      </c>
      <c r="AW5" s="106">
        <f>DATA!E40</f>
      </c>
      <c r="AX5" s="106">
        <f>DATA!E41</f>
      </c>
      <c r="AY5" s="106">
        <f>DATA!E44</f>
      </c>
      <c r="AZ5" s="106">
        <f>DATA!E45</f>
      </c>
      <c r="BA5" s="106">
        <f>DATA!E46</f>
      </c>
      <c r="BB5" s="106">
        <f>DATA!E47</f>
      </c>
      <c r="BC5" s="106">
        <f>DATA!E48</f>
      </c>
      <c r="BD5" s="106">
        <f>DATA!E49</f>
      </c>
      <c r="BE5" s="106">
        <f>DATA!N55</f>
      </c>
      <c r="BF5" s="106">
        <f>DATA!N56</f>
      </c>
      <c r="BG5" s="106">
        <f>DATA!N57</f>
      </c>
      <c r="BH5" s="106">
        <f>DATA!N58</f>
      </c>
      <c r="BI5" s="106">
        <f>DATA!N59</f>
      </c>
      <c r="BJ5" s="106">
        <f>DATA!E68</f>
      </c>
      <c r="BK5" s="106">
        <f>DATA!E69</f>
      </c>
      <c r="BL5" s="108">
        <f>DATA!E71</f>
      </c>
      <c r="BM5" s="108">
        <f>DATA!E72</f>
      </c>
      <c r="BN5" s="106">
        <f>DATA!E61</f>
      </c>
      <c r="BO5" s="106">
        <f>DATA!E62</f>
      </c>
      <c r="BP5" s="106">
        <f>DATA!E63</f>
      </c>
      <c r="BQ5" s="106">
        <f>DATA!E64</f>
      </c>
      <c r="BR5" s="106">
        <f>DATA!B66</f>
      </c>
      <c r="BS5" s="105">
        <f>DATA!$B$30&amp;"、"&amp;DATA!$E$30</f>
      </c>
    </row>
    <row r="6" spans="1:72" ht="12.75" customHeight="1"/>
    <row r="7" spans="1:72" ht="12.75" customHeight="1"/>
    <row r="8" spans="1:72" ht="22" customHeight="1">
      <c r="A8" s="109"/>
      <c r="B8" s="110"/>
      <c r="C8" s="110"/>
      <c r="D8" s="110"/>
      <c r="E8" s="110"/>
      <c r="F8" s="110"/>
      <c r="G8" s="110"/>
      <c r="H8" s="110"/>
    </row>
    <row r="9" spans="1:72" ht="19" customHeight="1">
      <c r="A9" s="107"/>
    </row>
    <row r="10" spans="1:72" ht="12.75" customHeight="1"/>
    <row r="11" spans="1:72" ht="12.75" customHeight="1"/>
    <row r="12" spans="1:72" ht="12.75" customHeight="1"/>
    <row r="13" spans="1:72" ht="12.75" customHeight="1"/>
    <row r="14" spans="1:72" ht="12.75" customHeight="1"/>
    <row r="15" spans="1:72" ht="12.75" customHeight="1"/>
    <row r="16" spans="1:7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sheetProtection sheet="1" formatCells="0" deleteColumns="0" deleteRows="0" selectLockedCells="1" sort="0" autoFilter="0"/>
  <phoneticPr fontId="30" type="noConversion"/>
  <pageMargins left="0.75" right="0.75" top="1" bottom="1"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A54"/>
  <sheetViews>
    <sheetView workbookViewId="0">
      <selection activeCell="A12" sqref="A12"/>
    </sheetView>
  </sheetViews>
  <sheetFormatPr baseColWidth="10" defaultColWidth="8.83203125" defaultRowHeight="16"/>
  <cols>
    <col min="1" max="1" width="94" style="19" customWidth="1"/>
    <col min="2" max="16384" width="8.83203125" style="20"/>
  </cols>
  <sheetData>
    <row r="1" spans="1:1" ht="17">
      <c r="A1" s="24" t="s">
        <v>364</v>
      </c>
    </row>
    <row r="2" spans="1:1" ht="34">
      <c r="A2" s="19" t="s">
        <v>365</v>
      </c>
    </row>
    <row r="4" spans="1:1" ht="34">
      <c r="A4" s="19" t="s">
        <v>366</v>
      </c>
    </row>
    <row r="6" spans="1:1" ht="17">
      <c r="A6" s="18" t="s">
        <v>367</v>
      </c>
    </row>
    <row r="7" spans="1:1" ht="17">
      <c r="A7" s="19" t="s">
        <v>368</v>
      </c>
    </row>
    <row r="9" spans="1:1" ht="17">
      <c r="A9" s="19" t="s">
        <v>369</v>
      </c>
    </row>
    <row r="11" spans="1:1" ht="17">
      <c r="A11" s="18" t="s">
        <v>370</v>
      </c>
    </row>
    <row r="12" spans="1:1" ht="34">
      <c r="A12" s="19" t="s">
        <v>371</v>
      </c>
    </row>
    <row r="15" spans="1:1" ht="17">
      <c r="A15" s="24" t="s">
        <v>372</v>
      </c>
    </row>
    <row r="16" spans="1:1" s="25" customFormat="1" ht="34">
      <c r="A16" s="19" t="s">
        <v>373</v>
      </c>
    </row>
    <row r="17" spans="1:1">
      <c r="A17" s="18"/>
    </row>
    <row r="18" spans="1:1" ht="51">
      <c r="A18" s="19" t="s">
        <v>374</v>
      </c>
    </row>
    <row r="19" spans="1:1">
      <c r="A19" s="24"/>
    </row>
    <row r="20" spans="1:1" ht="34">
      <c r="A20" s="19" t="s">
        <v>375</v>
      </c>
    </row>
    <row r="22" spans="1:1" ht="17">
      <c r="A22" s="24" t="s">
        <v>376</v>
      </c>
    </row>
    <row r="23" spans="1:1" ht="17">
      <c r="A23" s="19" t="s">
        <v>377</v>
      </c>
    </row>
    <row r="24" spans="1:1" ht="34">
      <c r="A24" s="26" t="s">
        <v>378</v>
      </c>
    </row>
    <row r="25" spans="1:1">
      <c r="A25" s="26"/>
    </row>
    <row r="26" spans="1:1" ht="17">
      <c r="A26" s="26" t="s">
        <v>379</v>
      </c>
    </row>
    <row r="27" spans="1:1" ht="17">
      <c r="A27" s="26" t="s">
        <v>380</v>
      </c>
    </row>
    <row r="28" spans="1:1" ht="17">
      <c r="A28" s="26" t="s">
        <v>381</v>
      </c>
    </row>
    <row r="29" spans="1:1" ht="17">
      <c r="A29" s="26" t="s">
        <v>382</v>
      </c>
    </row>
    <row r="30" spans="1:1" ht="17">
      <c r="A30" s="26" t="s">
        <v>383</v>
      </c>
    </row>
    <row r="31" spans="1:1" ht="17">
      <c r="A31" s="26" t="s">
        <v>384</v>
      </c>
    </row>
    <row r="32" spans="1:1">
      <c r="A32" s="26"/>
    </row>
    <row r="33" spans="1:1" ht="34">
      <c r="A33" s="26" t="s">
        <v>385</v>
      </c>
    </row>
    <row r="35" spans="1:1" ht="17">
      <c r="A35" s="19" t="s">
        <v>386</v>
      </c>
    </row>
    <row r="38" spans="1:1" ht="17">
      <c r="A38" s="24" t="s">
        <v>387</v>
      </c>
    </row>
    <row r="39" spans="1:1" ht="119">
      <c r="A39" s="19" t="s">
        <v>388</v>
      </c>
    </row>
    <row r="41" spans="1:1" ht="68">
      <c r="A41" s="19" t="s">
        <v>389</v>
      </c>
    </row>
    <row r="43" spans="1:1" ht="68">
      <c r="A43" s="19" t="s">
        <v>390</v>
      </c>
    </row>
    <row r="45" spans="1:1" ht="85">
      <c r="A45" s="19" t="s">
        <v>391</v>
      </c>
    </row>
    <row r="47" spans="1:1" ht="34">
      <c r="A47" s="19" t="s">
        <v>392</v>
      </c>
    </row>
    <row r="48" spans="1:1">
      <c r="A48" s="18"/>
    </row>
    <row r="49" spans="1:1" ht="17">
      <c r="A49" s="18" t="s">
        <v>393</v>
      </c>
    </row>
    <row r="50" spans="1:1" ht="34">
      <c r="A50" s="19" t="s">
        <v>394</v>
      </c>
    </row>
    <row r="52" spans="1:1" ht="34">
      <c r="A52" s="19" t="s">
        <v>395</v>
      </c>
    </row>
    <row r="54" spans="1:1" ht="34">
      <c r="A54" s="19" t="s">
        <v>396</v>
      </c>
    </row>
  </sheetData>
  <sheetProtection sheet="1"/>
  <phoneticPr fontId="0"/>
  <pageMargins left="0.75" right="0.75" top="1" bottom="1" header="0.5" footer="0.5"/>
  <pageSetup paperSize="0"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pageSetUpPr fitToPage="1"/>
  </sheetPr>
  <dimension ref="A1:K29"/>
  <sheetViews>
    <sheetView workbookViewId="0">
      <selection activeCell="G11" sqref="G11"/>
    </sheetView>
  </sheetViews>
  <sheetFormatPr baseColWidth="10" defaultColWidth="11.5" defaultRowHeight="16"/>
  <cols>
    <col min="1" max="1" width="19.33203125" style="32" customWidth="1"/>
    <col min="2" max="2" width="18.5" style="16" customWidth="1"/>
    <col min="3" max="6" width="13.6640625" style="32" customWidth="1"/>
    <col min="7" max="16384" width="11.5" style="32"/>
  </cols>
  <sheetData>
    <row r="1" spans="1:8" ht="17.25" customHeight="1">
      <c r="A1" s="53" t="s">
        <v>0</v>
      </c>
      <c r="B1" s="322"/>
      <c r="C1" s="322"/>
      <c r="D1" s="58"/>
      <c r="E1" s="31" t="s">
        <v>1</v>
      </c>
      <c r="F1" s="324"/>
      <c r="G1" s="324"/>
      <c r="H1" s="325"/>
    </row>
    <row r="2" spans="1:8" ht="17.25" customHeight="1">
      <c r="A2" s="54" t="s">
        <v>2</v>
      </c>
      <c r="B2" s="323"/>
      <c r="C2" s="323"/>
      <c r="E2" s="34" t="s">
        <v>3</v>
      </c>
      <c r="F2" s="317"/>
      <c r="G2" s="317"/>
      <c r="H2" s="318"/>
    </row>
    <row r="3" spans="1:8" ht="17.25" customHeight="1">
      <c r="A3" s="54" t="s">
        <v>4</v>
      </c>
      <c r="B3" s="323"/>
      <c r="C3" s="323"/>
      <c r="E3" s="34" t="s">
        <v>5</v>
      </c>
      <c r="F3" s="317"/>
      <c r="G3" s="317"/>
      <c r="H3" s="318"/>
    </row>
    <row r="4" spans="1:8">
      <c r="A4" s="35" t="s">
        <v>6</v>
      </c>
      <c r="B4" s="33"/>
      <c r="C4" s="33"/>
      <c r="D4" s="34"/>
      <c r="E4" s="34"/>
      <c r="F4" s="326"/>
      <c r="G4" s="326"/>
      <c r="H4" s="59"/>
    </row>
    <row r="5" spans="1:8" ht="17.25" customHeight="1" thickBot="1">
      <c r="A5" s="35"/>
      <c r="B5" s="327"/>
      <c r="C5" s="328"/>
      <c r="D5" s="328"/>
      <c r="E5" s="328"/>
      <c r="F5" s="328"/>
      <c r="G5" s="57"/>
      <c r="H5" s="60"/>
    </row>
    <row r="6" spans="1:8" ht="15.75" customHeight="1" thickBot="1">
      <c r="A6" s="35"/>
      <c r="B6" s="32"/>
      <c r="C6" s="36" t="s">
        <v>7</v>
      </c>
      <c r="D6" s="37" t="s">
        <v>8</v>
      </c>
      <c r="E6" s="38" t="s">
        <v>9</v>
      </c>
      <c r="F6" s="39" t="s">
        <v>10</v>
      </c>
      <c r="H6" s="60"/>
    </row>
    <row r="7" spans="1:8" ht="30" customHeight="1">
      <c r="A7" s="329" t="s">
        <v>11</v>
      </c>
      <c r="B7" s="333"/>
      <c r="C7" s="40"/>
      <c r="D7" s="40"/>
      <c r="E7" s="40"/>
      <c r="F7" s="40"/>
      <c r="H7" s="60"/>
    </row>
    <row r="8" spans="1:8" ht="30" customHeight="1">
      <c r="A8" s="319" t="s">
        <v>12</v>
      </c>
      <c r="B8" s="320"/>
      <c r="C8" s="71"/>
      <c r="D8" s="71"/>
      <c r="E8" s="71"/>
      <c r="F8" s="71"/>
      <c r="H8" s="60"/>
    </row>
    <row r="9" spans="1:8" ht="30" customHeight="1">
      <c r="A9" s="319" t="s">
        <v>13</v>
      </c>
      <c r="B9" s="320"/>
      <c r="C9" s="71"/>
      <c r="D9" s="71"/>
      <c r="E9" s="71"/>
      <c r="F9" s="71"/>
      <c r="H9" s="60"/>
    </row>
    <row r="10" spans="1:8" s="49" customFormat="1" ht="30" customHeight="1">
      <c r="A10" s="319" t="s">
        <v>14</v>
      </c>
      <c r="B10" s="320"/>
      <c r="C10" s="71"/>
      <c r="D10" s="71"/>
      <c r="E10" s="71"/>
      <c r="F10" s="71"/>
      <c r="H10" s="61"/>
    </row>
    <row r="11" spans="1:8" s="49" customFormat="1" ht="30" customHeight="1">
      <c r="A11" s="319" t="s">
        <v>15</v>
      </c>
      <c r="B11" s="320"/>
      <c r="C11" s="71"/>
      <c r="D11" s="71"/>
      <c r="E11" s="71"/>
      <c r="F11" s="71"/>
      <c r="H11" s="61"/>
    </row>
    <row r="12" spans="1:8" s="49" customFormat="1" ht="30" customHeight="1">
      <c r="A12" s="319" t="s">
        <v>16</v>
      </c>
      <c r="B12" s="320"/>
      <c r="C12" s="71"/>
      <c r="D12" s="71"/>
      <c r="E12" s="71"/>
      <c r="F12" s="71"/>
      <c r="H12" s="61"/>
    </row>
    <row r="13" spans="1:8" s="49" customFormat="1" ht="30" customHeight="1">
      <c r="A13" s="319" t="s">
        <v>17</v>
      </c>
      <c r="B13" s="320"/>
      <c r="C13" s="71"/>
      <c r="D13" s="71"/>
      <c r="E13" s="71"/>
      <c r="F13" s="71"/>
      <c r="H13" s="61"/>
    </row>
    <row r="14" spans="1:8" ht="30" customHeight="1" thickBot="1">
      <c r="A14" s="336" t="s">
        <v>18</v>
      </c>
      <c r="B14" s="337"/>
      <c r="C14" s="72"/>
      <c r="D14" s="72"/>
      <c r="E14" s="72"/>
      <c r="F14" s="72"/>
      <c r="H14" s="60"/>
    </row>
    <row r="15" spans="1:8" ht="6" customHeight="1" thickBot="1">
      <c r="A15" s="83"/>
      <c r="B15" s="321"/>
      <c r="C15" s="321"/>
      <c r="D15" s="321"/>
      <c r="E15" s="321"/>
      <c r="F15" s="321"/>
      <c r="G15" s="321"/>
      <c r="H15" s="60"/>
    </row>
    <row r="16" spans="1:8" ht="30" customHeight="1" thickBot="1">
      <c r="A16" s="329" t="s">
        <v>19</v>
      </c>
      <c r="B16" s="330"/>
      <c r="C16" s="36" t="s">
        <v>7</v>
      </c>
      <c r="D16" s="41" t="s">
        <v>8</v>
      </c>
      <c r="E16" s="36" t="s">
        <v>9</v>
      </c>
      <c r="F16" s="42" t="s">
        <v>10</v>
      </c>
      <c r="H16" s="60"/>
    </row>
    <row r="17" spans="1:11" ht="30" customHeight="1">
      <c r="A17" s="334" t="s">
        <v>20</v>
      </c>
      <c r="B17" s="335"/>
      <c r="C17" s="40"/>
      <c r="D17" s="40"/>
      <c r="E17" s="40"/>
      <c r="F17" s="40"/>
      <c r="H17" s="60"/>
    </row>
    <row r="18" spans="1:11" ht="30" customHeight="1">
      <c r="A18" s="334" t="s">
        <v>21</v>
      </c>
      <c r="B18" s="335"/>
      <c r="C18" s="71"/>
      <c r="D18" s="71"/>
      <c r="E18" s="71"/>
      <c r="F18" s="71"/>
      <c r="H18" s="60"/>
    </row>
    <row r="19" spans="1:11" ht="30" customHeight="1">
      <c r="A19" s="334" t="s">
        <v>22</v>
      </c>
      <c r="B19" s="335"/>
      <c r="C19" s="71"/>
      <c r="D19" s="71"/>
      <c r="E19" s="71"/>
      <c r="F19" s="71"/>
      <c r="H19" s="60"/>
    </row>
    <row r="20" spans="1:11" ht="30" customHeight="1" thickBot="1">
      <c r="A20" s="331" t="s">
        <v>23</v>
      </c>
      <c r="B20" s="332"/>
      <c r="C20" s="79"/>
      <c r="D20" s="79"/>
      <c r="E20" s="79"/>
      <c r="F20" s="79"/>
      <c r="G20" s="35"/>
      <c r="H20" s="60"/>
    </row>
    <row r="21" spans="1:11" ht="6" customHeight="1" thickBot="1">
      <c r="A21" s="82"/>
      <c r="B21" s="78"/>
      <c r="C21" s="80"/>
      <c r="D21" s="80"/>
      <c r="E21" s="80"/>
      <c r="F21" s="338"/>
      <c r="G21" s="326"/>
      <c r="H21" s="60"/>
    </row>
    <row r="22" spans="1:11" ht="20.25" customHeight="1" thickBot="1">
      <c r="A22" s="343" t="s">
        <v>24</v>
      </c>
      <c r="B22" s="344"/>
      <c r="C22" s="36" t="s">
        <v>7</v>
      </c>
      <c r="D22" s="41" t="s">
        <v>8</v>
      </c>
      <c r="E22" s="36" t="s">
        <v>9</v>
      </c>
      <c r="F22" s="42" t="s">
        <v>10</v>
      </c>
      <c r="H22" s="60"/>
    </row>
    <row r="23" spans="1:11" ht="30" customHeight="1">
      <c r="A23" s="345" t="s">
        <v>25</v>
      </c>
      <c r="B23" s="346"/>
      <c r="C23" s="40"/>
      <c r="D23" s="40"/>
      <c r="E23" s="40"/>
      <c r="F23" s="40"/>
      <c r="H23" s="60"/>
    </row>
    <row r="24" spans="1:11" ht="30" customHeight="1">
      <c r="A24" s="347" t="s">
        <v>26</v>
      </c>
      <c r="B24" s="348"/>
      <c r="C24" s="71"/>
      <c r="D24" s="71"/>
      <c r="E24" s="71"/>
      <c r="F24" s="71"/>
      <c r="H24" s="60"/>
    </row>
    <row r="25" spans="1:11" ht="30" customHeight="1">
      <c r="A25" s="347" t="s">
        <v>27</v>
      </c>
      <c r="B25" s="348"/>
      <c r="C25" s="71"/>
      <c r="D25" s="71"/>
      <c r="E25" s="71"/>
      <c r="F25" s="71"/>
      <c r="H25" s="60"/>
    </row>
    <row r="26" spans="1:11" ht="30" customHeight="1" thickBot="1">
      <c r="A26" s="339" t="s">
        <v>28</v>
      </c>
      <c r="B26" s="340"/>
      <c r="C26" s="73"/>
      <c r="D26" s="73"/>
      <c r="E26" s="73"/>
      <c r="F26" s="73"/>
      <c r="H26" s="60"/>
    </row>
    <row r="27" spans="1:11" ht="17.25" customHeight="1">
      <c r="A27" s="352" t="s">
        <v>29</v>
      </c>
      <c r="B27" s="353"/>
      <c r="C27" s="353"/>
      <c r="D27" s="353"/>
      <c r="E27" s="353"/>
      <c r="F27" s="353"/>
      <c r="G27" s="353"/>
      <c r="H27" s="354"/>
    </row>
    <row r="28" spans="1:11" ht="19.5" customHeight="1" thickBot="1">
      <c r="A28" s="349"/>
      <c r="B28" s="350"/>
      <c r="C28" s="350"/>
      <c r="D28" s="350"/>
      <c r="E28" s="350"/>
      <c r="F28" s="350"/>
      <c r="G28" s="350"/>
      <c r="H28" s="351"/>
    </row>
    <row r="29" spans="1:11">
      <c r="A29" s="304" t="s">
        <v>30</v>
      </c>
      <c r="B29" s="304"/>
      <c r="C29" s="304"/>
      <c r="D29" s="341"/>
      <c r="E29" s="342"/>
      <c r="F29" s="342"/>
      <c r="G29" s="342"/>
      <c r="H29" s="342"/>
      <c r="I29" s="342"/>
      <c r="J29" s="342"/>
      <c r="K29" s="342"/>
    </row>
  </sheetData>
  <mergeCells count="31">
    <mergeCell ref="F21:G21"/>
    <mergeCell ref="A18:B18"/>
    <mergeCell ref="A19:B19"/>
    <mergeCell ref="A26:B26"/>
    <mergeCell ref="A29:K29"/>
    <mergeCell ref="A22:B22"/>
    <mergeCell ref="A23:B23"/>
    <mergeCell ref="A24:B24"/>
    <mergeCell ref="A28:H28"/>
    <mergeCell ref="A27:H27"/>
    <mergeCell ref="A25:B25"/>
    <mergeCell ref="A16:B16"/>
    <mergeCell ref="A20:B20"/>
    <mergeCell ref="A7:B7"/>
    <mergeCell ref="A11:B11"/>
    <mergeCell ref="A13:B13"/>
    <mergeCell ref="A17:B17"/>
    <mergeCell ref="A14:B14"/>
    <mergeCell ref="F2:H2"/>
    <mergeCell ref="A8:B8"/>
    <mergeCell ref="A10:B10"/>
    <mergeCell ref="B15:G15"/>
    <mergeCell ref="B1:C1"/>
    <mergeCell ref="B2:C2"/>
    <mergeCell ref="B3:C3"/>
    <mergeCell ref="F1:H1"/>
    <mergeCell ref="A12:B12"/>
    <mergeCell ref="A9:B9"/>
    <mergeCell ref="F3:H3"/>
    <mergeCell ref="F4:G4"/>
    <mergeCell ref="B5:F5"/>
  </mergeCells>
  <phoneticPr fontId="0"/>
  <pageMargins left="0.67" right="0.21" top="1.17" bottom="0.5" header="0.28999999999999998" footer="0.21"/>
  <pageSetup scale="89" orientation="portrait" horizontalDpi="4000" verticalDpi="4000"/>
  <headerFooter alignWithMargins="0">
    <oddHeader>&amp;CReef Check Belt Transect - Fish</oddHeader>
    <oddFooter>&amp;CIndo-Pacific 2010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pageSetUpPr fitToPage="1"/>
  </sheetPr>
  <dimension ref="C1:BS142"/>
  <sheetViews>
    <sheetView workbookViewId="0">
      <selection activeCell="L42" sqref="L42"/>
    </sheetView>
  </sheetViews>
  <sheetFormatPr baseColWidth="10" defaultColWidth="11.5" defaultRowHeight="16"/>
  <cols>
    <col min="1" max="2" width="11.5" style="43" customWidth="1"/>
    <col min="3" max="3" width="18.6640625" style="43" customWidth="1"/>
    <col min="4" max="4" width="23.5" style="17" customWidth="1"/>
    <col min="5" max="8" width="13.6640625" style="43" customWidth="1"/>
    <col min="9" max="9" width="11.5" style="32" customWidth="1"/>
    <col min="10" max="10" width="3" style="32" customWidth="1"/>
    <col min="11" max="49" width="11.5" style="32" customWidth="1"/>
    <col min="50" max="16384" width="11.5" style="43"/>
  </cols>
  <sheetData>
    <row r="1" spans="3:71" ht="17.25" customHeight="1">
      <c r="C1" s="53" t="s">
        <v>0</v>
      </c>
      <c r="D1" s="322"/>
      <c r="E1" s="322"/>
      <c r="F1" s="58"/>
      <c r="G1" s="31" t="s">
        <v>1</v>
      </c>
      <c r="H1" s="324"/>
      <c r="I1" s="324"/>
      <c r="J1" s="325"/>
    </row>
    <row r="2" spans="3:71" ht="17.25" customHeight="1">
      <c r="C2" s="54" t="s">
        <v>2</v>
      </c>
      <c r="D2" s="323"/>
      <c r="E2" s="323"/>
      <c r="F2" s="32"/>
      <c r="G2" s="34" t="s">
        <v>3</v>
      </c>
      <c r="H2" s="317"/>
      <c r="I2" s="317"/>
      <c r="J2" s="318"/>
    </row>
    <row r="3" spans="3:71" ht="17.25" customHeight="1">
      <c r="C3" s="54" t="s">
        <v>4</v>
      </c>
      <c r="D3" s="323"/>
      <c r="E3" s="323"/>
      <c r="F3" s="32"/>
      <c r="G3" s="34" t="s">
        <v>5</v>
      </c>
      <c r="H3" s="317"/>
      <c r="I3" s="317"/>
      <c r="J3" s="318"/>
    </row>
    <row r="4" spans="3:71" ht="17.25" customHeight="1">
      <c r="C4" s="35" t="s">
        <v>6</v>
      </c>
      <c r="D4" s="33"/>
      <c r="E4" s="64"/>
      <c r="F4" s="55"/>
      <c r="G4" s="56"/>
      <c r="H4" s="395"/>
      <c r="I4" s="395"/>
      <c r="J4" s="59"/>
    </row>
    <row r="5" spans="3:71" ht="17.25" customHeight="1" thickBot="1">
      <c r="C5" s="62"/>
      <c r="D5" s="63"/>
      <c r="E5" s="63"/>
      <c r="F5" s="63"/>
      <c r="G5" s="63"/>
      <c r="H5" s="63"/>
      <c r="I5" s="57"/>
      <c r="J5" s="60"/>
    </row>
    <row r="6" spans="3:71" ht="18.75" customHeight="1" thickBot="1">
      <c r="C6" s="391" t="s">
        <v>31</v>
      </c>
      <c r="D6" s="392"/>
      <c r="E6" s="36" t="s">
        <v>7</v>
      </c>
      <c r="F6" s="41" t="s">
        <v>8</v>
      </c>
      <c r="G6" s="36" t="s">
        <v>9</v>
      </c>
      <c r="H6" s="36" t="s">
        <v>10</v>
      </c>
      <c r="J6" s="60"/>
    </row>
    <row r="7" spans="3:71" s="51" customFormat="1" ht="30" customHeight="1">
      <c r="C7" s="393" t="s">
        <v>32</v>
      </c>
      <c r="D7" s="394"/>
      <c r="E7" s="50"/>
      <c r="F7" s="50"/>
      <c r="G7" s="50"/>
      <c r="H7" s="50"/>
      <c r="I7" s="49"/>
      <c r="J7" s="61"/>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row>
    <row r="8" spans="3:71" s="51" customFormat="1" ht="30" customHeight="1">
      <c r="C8" s="388" t="s">
        <v>33</v>
      </c>
      <c r="D8" s="320"/>
      <c r="E8" s="50"/>
      <c r="F8" s="50"/>
      <c r="G8" s="50"/>
      <c r="H8" s="50"/>
      <c r="I8" s="49"/>
      <c r="J8" s="61"/>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row>
    <row r="9" spans="3:71" ht="30" customHeight="1">
      <c r="C9" s="319" t="s">
        <v>34</v>
      </c>
      <c r="D9" s="320"/>
      <c r="E9" s="50"/>
      <c r="F9" s="50"/>
      <c r="G9" s="50"/>
      <c r="H9" s="50"/>
      <c r="J9" s="60"/>
    </row>
    <row r="10" spans="3:71" ht="30" customHeight="1">
      <c r="C10" s="319" t="s">
        <v>35</v>
      </c>
      <c r="D10" s="320"/>
      <c r="E10" s="50"/>
      <c r="F10" s="50"/>
      <c r="G10" s="50"/>
      <c r="H10" s="50"/>
      <c r="J10" s="60"/>
    </row>
    <row r="11" spans="3:71" ht="30" customHeight="1">
      <c r="C11" s="319" t="s">
        <v>36</v>
      </c>
      <c r="D11" s="320"/>
      <c r="E11" s="50"/>
      <c r="F11" s="50"/>
      <c r="G11" s="50"/>
      <c r="H11" s="50"/>
      <c r="J11" s="60"/>
    </row>
    <row r="12" spans="3:71" ht="30" customHeight="1">
      <c r="C12" s="319" t="s">
        <v>37</v>
      </c>
      <c r="D12" s="320"/>
      <c r="E12" s="50"/>
      <c r="F12" s="50"/>
      <c r="G12" s="50"/>
      <c r="H12" s="50"/>
      <c r="J12" s="60"/>
    </row>
    <row r="13" spans="3:71" ht="30" customHeight="1">
      <c r="C13" s="319" t="s">
        <v>38</v>
      </c>
      <c r="D13" s="320"/>
      <c r="E13" s="50"/>
      <c r="F13" s="50"/>
      <c r="G13" s="50"/>
      <c r="H13" s="50"/>
      <c r="J13" s="60"/>
    </row>
    <row r="14" spans="3:71" ht="32.25" customHeight="1" thickBot="1">
      <c r="C14" s="389" t="s">
        <v>39</v>
      </c>
      <c r="D14" s="390"/>
      <c r="E14" s="68"/>
      <c r="F14" s="68"/>
      <c r="G14" s="68"/>
      <c r="H14" s="68"/>
      <c r="J14" s="60"/>
    </row>
    <row r="15" spans="3:71" s="17" customFormat="1" ht="6.75" customHeight="1" thickBot="1">
      <c r="C15" s="377"/>
      <c r="D15" s="377"/>
      <c r="E15" s="44"/>
      <c r="F15" s="44"/>
      <c r="G15" s="44"/>
      <c r="H15" s="44"/>
      <c r="I15" s="16"/>
      <c r="J15" s="65"/>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row>
    <row r="16" spans="3:71" s="17" customFormat="1" ht="17" thickBot="1">
      <c r="C16" s="378" t="s">
        <v>40</v>
      </c>
      <c r="D16" s="379"/>
      <c r="E16" s="36" t="s">
        <v>7</v>
      </c>
      <c r="F16" s="41" t="s">
        <v>8</v>
      </c>
      <c r="G16" s="36" t="s">
        <v>9</v>
      </c>
      <c r="H16" s="42" t="s">
        <v>10</v>
      </c>
      <c r="I16" s="16"/>
      <c r="J16" s="65"/>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row>
    <row r="17" spans="3:71" s="17" customFormat="1" ht="30" customHeight="1">
      <c r="C17" s="380" t="s">
        <v>41</v>
      </c>
      <c r="D17" s="381"/>
      <c r="E17" s="50"/>
      <c r="F17" s="50"/>
      <c r="G17" s="50"/>
      <c r="H17" s="50"/>
      <c r="I17" s="16"/>
      <c r="J17" s="65"/>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row>
    <row r="18" spans="3:71" s="17" customFormat="1" ht="30" customHeight="1">
      <c r="C18" s="334" t="s">
        <v>42</v>
      </c>
      <c r="D18" s="382"/>
      <c r="E18" s="50"/>
      <c r="F18" s="50"/>
      <c r="G18" s="50"/>
      <c r="H18" s="50"/>
      <c r="I18" s="16"/>
      <c r="J18" s="65"/>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row>
    <row r="19" spans="3:71" s="17" customFormat="1" ht="30" customHeight="1">
      <c r="C19" s="334" t="s">
        <v>43</v>
      </c>
      <c r="D19" s="382"/>
      <c r="E19" s="50"/>
      <c r="F19" s="50"/>
      <c r="G19" s="50"/>
      <c r="H19" s="50"/>
      <c r="I19" s="16"/>
      <c r="J19" s="65"/>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row>
    <row r="20" spans="3:71" s="17" customFormat="1" ht="30" customHeight="1">
      <c r="C20" s="334" t="s">
        <v>20</v>
      </c>
      <c r="D20" s="382"/>
      <c r="E20" s="50"/>
      <c r="F20" s="50"/>
      <c r="G20" s="50"/>
      <c r="H20" s="50"/>
      <c r="I20" s="16"/>
      <c r="J20" s="65"/>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row>
    <row r="21" spans="3:71" s="17" customFormat="1" ht="30" customHeight="1">
      <c r="C21" s="334" t="s">
        <v>21</v>
      </c>
      <c r="D21" s="382"/>
      <c r="E21" s="50"/>
      <c r="F21" s="50"/>
      <c r="G21" s="50"/>
      <c r="H21" s="50"/>
      <c r="I21" s="16"/>
      <c r="J21" s="65"/>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row>
    <row r="22" spans="3:71" s="17" customFormat="1" ht="30" customHeight="1" thickBot="1">
      <c r="C22" s="331" t="s">
        <v>44</v>
      </c>
      <c r="D22" s="383"/>
      <c r="E22" s="68"/>
      <c r="F22" s="81"/>
      <c r="G22" s="81"/>
      <c r="H22" s="81"/>
      <c r="I22" s="16"/>
      <c r="J22" s="65"/>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row>
    <row r="23" spans="3:71" s="47" customFormat="1" ht="6" customHeight="1" thickBot="1">
      <c r="C23" s="384"/>
      <c r="D23" s="385"/>
      <c r="E23" s="32"/>
      <c r="F23" s="82"/>
      <c r="G23" s="82"/>
      <c r="H23" s="82"/>
      <c r="I23" s="45"/>
      <c r="J23" s="46"/>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row>
    <row r="24" spans="3:71" ht="38.25" customHeight="1" thickBot="1">
      <c r="C24" s="386" t="s">
        <v>45</v>
      </c>
      <c r="D24" s="387"/>
      <c r="E24" s="370" t="s">
        <v>46</v>
      </c>
      <c r="F24" s="371"/>
      <c r="G24" s="371"/>
      <c r="H24" s="372"/>
      <c r="J24" s="60"/>
    </row>
    <row r="25" spans="3:71" ht="15" customHeight="1" thickBot="1">
      <c r="C25" s="48"/>
      <c r="D25" s="52"/>
      <c r="E25" s="36" t="s">
        <v>7</v>
      </c>
      <c r="F25" s="36" t="s">
        <v>8</v>
      </c>
      <c r="G25" s="36" t="s">
        <v>9</v>
      </c>
      <c r="H25" s="42" t="s">
        <v>10</v>
      </c>
      <c r="J25" s="60"/>
    </row>
    <row r="26" spans="3:71" ht="30" customHeight="1">
      <c r="C26" s="334" t="s">
        <v>47</v>
      </c>
      <c r="D26" s="335"/>
      <c r="E26" s="50"/>
      <c r="F26" s="50"/>
      <c r="G26" s="50"/>
      <c r="H26" s="50"/>
      <c r="J26" s="60"/>
    </row>
    <row r="27" spans="3:71" ht="30" customHeight="1">
      <c r="C27" s="334" t="s">
        <v>48</v>
      </c>
      <c r="D27" s="335"/>
      <c r="E27" s="50"/>
      <c r="F27" s="50"/>
      <c r="G27" s="50"/>
      <c r="H27" s="50"/>
      <c r="J27" s="60"/>
    </row>
    <row r="28" spans="3:71" ht="30" customHeight="1">
      <c r="C28" s="334" t="s">
        <v>49</v>
      </c>
      <c r="D28" s="335"/>
      <c r="E28" s="50"/>
      <c r="F28" s="50"/>
      <c r="G28" s="50"/>
      <c r="H28" s="50"/>
      <c r="J28" s="60"/>
    </row>
    <row r="29" spans="3:71" ht="30" customHeight="1">
      <c r="C29" s="334" t="s">
        <v>50</v>
      </c>
      <c r="D29" s="335"/>
      <c r="E29" s="50"/>
      <c r="F29" s="50"/>
      <c r="G29" s="50"/>
      <c r="H29" s="50"/>
      <c r="J29" s="60"/>
    </row>
    <row r="30" spans="3:71" ht="30" customHeight="1" thickBot="1">
      <c r="C30" s="373" t="s">
        <v>51</v>
      </c>
      <c r="D30" s="374"/>
      <c r="E30" s="66"/>
      <c r="F30" s="66"/>
      <c r="G30" s="66"/>
      <c r="H30" s="66"/>
      <c r="J30" s="60"/>
    </row>
    <row r="31" spans="3:71" ht="30" customHeight="1" thickTop="1">
      <c r="C31" s="375" t="s">
        <v>52</v>
      </c>
      <c r="D31" s="376"/>
      <c r="E31" s="74" t="s">
        <v>53</v>
      </c>
      <c r="F31" s="74" t="s">
        <v>53</v>
      </c>
      <c r="G31" s="74" t="s">
        <v>53</v>
      </c>
      <c r="H31" s="74" t="s">
        <v>53</v>
      </c>
      <c r="J31" s="60"/>
    </row>
    <row r="32" spans="3:71" ht="30" customHeight="1" thickBot="1">
      <c r="C32" s="362" t="s">
        <v>54</v>
      </c>
      <c r="D32" s="363"/>
      <c r="E32" s="75" t="s">
        <v>53</v>
      </c>
      <c r="F32" s="75" t="s">
        <v>53</v>
      </c>
      <c r="G32" s="75" t="s">
        <v>53</v>
      </c>
      <c r="H32" s="75" t="s">
        <v>53</v>
      </c>
      <c r="J32" s="60"/>
    </row>
    <row r="33" spans="3:71" ht="30" customHeight="1">
      <c r="C33" s="357" t="s">
        <v>55</v>
      </c>
      <c r="D33" s="69" t="s">
        <v>56</v>
      </c>
      <c r="E33" s="76" t="s">
        <v>53</v>
      </c>
      <c r="F33" s="76" t="s">
        <v>53</v>
      </c>
      <c r="G33" s="76" t="s">
        <v>53</v>
      </c>
      <c r="H33" s="76" t="s">
        <v>53</v>
      </c>
      <c r="J33" s="60"/>
    </row>
    <row r="34" spans="3:71" ht="30" customHeight="1" thickBot="1">
      <c r="C34" s="358"/>
      <c r="D34" s="70" t="s">
        <v>57</v>
      </c>
      <c r="E34" s="77" t="s">
        <v>53</v>
      </c>
      <c r="F34" s="77" t="s">
        <v>53</v>
      </c>
      <c r="G34" s="77" t="s">
        <v>53</v>
      </c>
      <c r="H34" s="77" t="s">
        <v>53</v>
      </c>
      <c r="J34" s="60"/>
    </row>
    <row r="35" spans="3:71" ht="17.25" customHeight="1" thickBot="1">
      <c r="C35" s="364" t="s">
        <v>24</v>
      </c>
      <c r="D35" s="365"/>
      <c r="E35" s="36" t="s">
        <v>7</v>
      </c>
      <c r="F35" s="41" t="s">
        <v>8</v>
      </c>
      <c r="G35" s="36" t="s">
        <v>9</v>
      </c>
      <c r="H35" s="42" t="s">
        <v>10</v>
      </c>
      <c r="J35" s="60"/>
    </row>
    <row r="36" spans="3:71" ht="30" customHeight="1">
      <c r="C36" s="345" t="s">
        <v>25</v>
      </c>
      <c r="D36" s="346"/>
      <c r="E36" s="40"/>
      <c r="F36" s="40"/>
      <c r="G36" s="40"/>
      <c r="H36" s="40"/>
      <c r="J36" s="60"/>
    </row>
    <row r="37" spans="3:71" ht="30" customHeight="1">
      <c r="C37" s="345" t="s">
        <v>26</v>
      </c>
      <c r="D37" s="346"/>
      <c r="E37" s="71"/>
      <c r="F37" s="71"/>
      <c r="G37" s="71"/>
      <c r="H37" s="71"/>
      <c r="J37" s="60"/>
    </row>
    <row r="38" spans="3:71" ht="30" customHeight="1">
      <c r="C38" s="345" t="s">
        <v>27</v>
      </c>
      <c r="D38" s="346"/>
      <c r="E38" s="71"/>
      <c r="F38" s="71"/>
      <c r="G38" s="71"/>
      <c r="H38" s="71"/>
      <c r="J38" s="60"/>
    </row>
    <row r="39" spans="3:71" ht="30" customHeight="1" thickBot="1">
      <c r="C39" s="355" t="s">
        <v>28</v>
      </c>
      <c r="D39" s="356"/>
      <c r="E39" s="73"/>
      <c r="F39" s="73"/>
      <c r="G39" s="73"/>
      <c r="H39" s="73"/>
      <c r="J39" s="60"/>
    </row>
    <row r="40" spans="3:71" ht="17.25" customHeight="1">
      <c r="C40" s="366" t="s">
        <v>29</v>
      </c>
      <c r="D40" s="367"/>
      <c r="E40" s="67"/>
      <c r="F40" s="67"/>
      <c r="G40" s="67"/>
      <c r="H40" s="67"/>
      <c r="J40" s="60"/>
    </row>
    <row r="41" spans="3:71" ht="17.25" customHeight="1" thickBot="1">
      <c r="C41" s="359"/>
      <c r="D41" s="360"/>
      <c r="E41" s="360"/>
      <c r="F41" s="360"/>
      <c r="G41" s="360"/>
      <c r="H41" s="360"/>
      <c r="I41" s="360"/>
      <c r="J41" s="361"/>
    </row>
    <row r="42" spans="3:71" s="32" customFormat="1">
      <c r="C42" s="368" t="s">
        <v>58</v>
      </c>
      <c r="D42" s="368"/>
      <c r="E42" s="368"/>
      <c r="F42" s="368"/>
      <c r="G42" s="368"/>
      <c r="H42" s="368"/>
      <c r="I42" s="368"/>
      <c r="J42" s="368"/>
    </row>
    <row r="43" spans="3:71" s="32" customFormat="1" ht="19.5" customHeight="1">
      <c r="C43" s="369"/>
      <c r="D43" s="369"/>
      <c r="E43" s="369"/>
      <c r="F43" s="369"/>
      <c r="G43" s="369"/>
      <c r="H43" s="369"/>
      <c r="I43" s="369"/>
      <c r="J43" s="369"/>
    </row>
    <row r="44" spans="3:71" s="32" customFormat="1">
      <c r="C44" s="304" t="s">
        <v>30</v>
      </c>
      <c r="D44" s="304"/>
      <c r="E44" s="304"/>
      <c r="F44" s="341"/>
      <c r="G44" s="342"/>
      <c r="H44" s="342"/>
      <c r="I44" s="342"/>
      <c r="J44" s="342"/>
      <c r="K44" s="342"/>
      <c r="L44" s="342"/>
      <c r="M44" s="342"/>
    </row>
    <row r="45" spans="3:71" s="32" customFormat="1">
      <c r="D45" s="16"/>
      <c r="AX45" s="43"/>
      <c r="AY45" s="43"/>
      <c r="AZ45" s="43"/>
      <c r="BA45" s="43"/>
      <c r="BB45" s="43"/>
      <c r="BC45" s="43"/>
      <c r="BD45" s="43"/>
      <c r="BE45" s="43"/>
      <c r="BF45" s="43"/>
      <c r="BG45" s="43"/>
      <c r="BH45" s="43"/>
      <c r="BI45" s="43"/>
      <c r="BJ45" s="43"/>
      <c r="BK45" s="43"/>
      <c r="BL45" s="43"/>
      <c r="BM45" s="43"/>
      <c r="BN45" s="43"/>
      <c r="BO45" s="43"/>
      <c r="BP45" s="43"/>
      <c r="BQ45" s="43"/>
      <c r="BR45" s="43"/>
      <c r="BS45" s="43"/>
    </row>
    <row r="46" spans="3:71" s="32" customFormat="1">
      <c r="D46" s="16"/>
      <c r="AX46" s="43"/>
      <c r="AY46" s="43"/>
      <c r="AZ46" s="43"/>
      <c r="BA46" s="43"/>
      <c r="BB46" s="43"/>
      <c r="BC46" s="43"/>
      <c r="BD46" s="43"/>
      <c r="BE46" s="43"/>
      <c r="BF46" s="43"/>
      <c r="BG46" s="43"/>
      <c r="BH46" s="43"/>
      <c r="BI46" s="43"/>
      <c r="BJ46" s="43"/>
      <c r="BK46" s="43"/>
      <c r="BL46" s="43"/>
      <c r="BM46" s="43"/>
      <c r="BN46" s="43"/>
      <c r="BO46" s="43"/>
      <c r="BP46" s="43"/>
      <c r="BQ46" s="43"/>
      <c r="BR46" s="43"/>
      <c r="BS46" s="43"/>
    </row>
    <row r="47" spans="3:71" s="32" customFormat="1">
      <c r="D47" s="16"/>
      <c r="AX47" s="43"/>
      <c r="AY47" s="43"/>
      <c r="AZ47" s="43"/>
      <c r="BA47" s="43"/>
      <c r="BB47" s="43"/>
      <c r="BC47" s="43"/>
      <c r="BD47" s="43"/>
      <c r="BE47" s="43"/>
      <c r="BF47" s="43"/>
      <c r="BG47" s="43"/>
      <c r="BH47" s="43"/>
      <c r="BI47" s="43"/>
      <c r="BJ47" s="43"/>
      <c r="BK47" s="43"/>
      <c r="BL47" s="43"/>
      <c r="BM47" s="43"/>
      <c r="BN47" s="43"/>
      <c r="BO47" s="43"/>
      <c r="BP47" s="43"/>
      <c r="BQ47" s="43"/>
      <c r="BR47" s="43"/>
      <c r="BS47" s="43"/>
    </row>
    <row r="48" spans="3:71" s="32" customFormat="1">
      <c r="D48" s="16"/>
      <c r="AX48" s="43"/>
      <c r="AY48" s="43"/>
      <c r="AZ48" s="43"/>
      <c r="BA48" s="43"/>
      <c r="BB48" s="43"/>
      <c r="BC48" s="43"/>
      <c r="BD48" s="43"/>
      <c r="BE48" s="43"/>
      <c r="BF48" s="43"/>
      <c r="BG48" s="43"/>
      <c r="BH48" s="43"/>
      <c r="BI48" s="43"/>
      <c r="BJ48" s="43"/>
      <c r="BK48" s="43"/>
      <c r="BL48" s="43"/>
      <c r="BM48" s="43"/>
      <c r="BN48" s="43"/>
      <c r="BO48" s="43"/>
      <c r="BP48" s="43"/>
      <c r="BQ48" s="43"/>
      <c r="BR48" s="43"/>
      <c r="BS48" s="43"/>
    </row>
    <row r="49" spans="4:71" s="32" customFormat="1">
      <c r="D49" s="16"/>
      <c r="AX49" s="43"/>
      <c r="AY49" s="43"/>
      <c r="AZ49" s="43"/>
      <c r="BA49" s="43"/>
      <c r="BB49" s="43"/>
      <c r="BC49" s="43"/>
      <c r="BD49" s="43"/>
      <c r="BE49" s="43"/>
      <c r="BF49" s="43"/>
      <c r="BG49" s="43"/>
      <c r="BH49" s="43"/>
      <c r="BI49" s="43"/>
      <c r="BJ49" s="43"/>
      <c r="BK49" s="43"/>
      <c r="BL49" s="43"/>
      <c r="BM49" s="43"/>
      <c r="BN49" s="43"/>
      <c r="BO49" s="43"/>
      <c r="BP49" s="43"/>
      <c r="BQ49" s="43"/>
      <c r="BR49" s="43"/>
      <c r="BS49" s="43"/>
    </row>
    <row r="50" spans="4:71" s="32" customFormat="1">
      <c r="D50" s="16"/>
      <c r="AX50" s="43"/>
      <c r="AY50" s="43"/>
      <c r="AZ50" s="43"/>
      <c r="BA50" s="43"/>
      <c r="BB50" s="43"/>
      <c r="BC50" s="43"/>
      <c r="BD50" s="43"/>
      <c r="BE50" s="43"/>
      <c r="BF50" s="43"/>
      <c r="BG50" s="43"/>
      <c r="BH50" s="43"/>
      <c r="BI50" s="43"/>
      <c r="BJ50" s="43"/>
      <c r="BK50" s="43"/>
      <c r="BL50" s="43"/>
      <c r="BM50" s="43"/>
      <c r="BN50" s="43"/>
      <c r="BO50" s="43"/>
      <c r="BP50" s="43"/>
      <c r="BQ50" s="43"/>
      <c r="BR50" s="43"/>
      <c r="BS50" s="43"/>
    </row>
    <row r="51" spans="4:71" s="32" customFormat="1">
      <c r="D51" s="16"/>
      <c r="AX51" s="43"/>
      <c r="AY51" s="43"/>
      <c r="AZ51" s="43"/>
      <c r="BA51" s="43"/>
      <c r="BB51" s="43"/>
      <c r="BC51" s="43"/>
      <c r="BD51" s="43"/>
      <c r="BE51" s="43"/>
      <c r="BF51" s="43"/>
      <c r="BG51" s="43"/>
      <c r="BH51" s="43"/>
      <c r="BI51" s="43"/>
      <c r="BJ51" s="43"/>
      <c r="BK51" s="43"/>
      <c r="BL51" s="43"/>
      <c r="BM51" s="43"/>
      <c r="BN51" s="43"/>
      <c r="BO51" s="43"/>
      <c r="BP51" s="43"/>
      <c r="BQ51" s="43"/>
      <c r="BR51" s="43"/>
      <c r="BS51" s="43"/>
    </row>
    <row r="52" spans="4:71" s="32" customFormat="1">
      <c r="D52" s="16"/>
    </row>
    <row r="53" spans="4:71" s="32" customFormat="1">
      <c r="D53" s="16"/>
    </row>
    <row r="54" spans="4:71" s="32" customFormat="1">
      <c r="D54" s="16"/>
    </row>
    <row r="55" spans="4:71" s="32" customFormat="1">
      <c r="D55" s="16"/>
    </row>
    <row r="56" spans="4:71" s="32" customFormat="1">
      <c r="D56" s="16"/>
    </row>
    <row r="57" spans="4:71" s="32" customFormat="1">
      <c r="D57" s="16"/>
    </row>
    <row r="58" spans="4:71" s="32" customFormat="1">
      <c r="D58" s="16"/>
    </row>
    <row r="59" spans="4:71" s="32" customFormat="1">
      <c r="D59" s="16"/>
    </row>
    <row r="60" spans="4:71" s="32" customFormat="1">
      <c r="D60" s="16"/>
    </row>
    <row r="61" spans="4:71" s="32" customFormat="1">
      <c r="D61" s="16"/>
    </row>
    <row r="62" spans="4:71" s="32" customFormat="1">
      <c r="D62" s="16"/>
    </row>
    <row r="63" spans="4:71" s="32" customFormat="1">
      <c r="D63" s="16"/>
    </row>
    <row r="64" spans="4:71" s="32" customFormat="1">
      <c r="D64" s="16"/>
    </row>
    <row r="65" spans="4:4" s="32" customFormat="1">
      <c r="D65" s="16"/>
    </row>
    <row r="66" spans="4:4" s="32" customFormat="1">
      <c r="D66" s="16"/>
    </row>
    <row r="67" spans="4:4" s="32" customFormat="1">
      <c r="D67" s="16"/>
    </row>
    <row r="68" spans="4:4" s="32" customFormat="1">
      <c r="D68" s="16"/>
    </row>
    <row r="69" spans="4:4" s="32" customFormat="1">
      <c r="D69" s="16"/>
    </row>
    <row r="70" spans="4:4" s="32" customFormat="1">
      <c r="D70" s="16"/>
    </row>
    <row r="71" spans="4:4" s="32" customFormat="1">
      <c r="D71" s="16"/>
    </row>
    <row r="72" spans="4:4" s="32" customFormat="1">
      <c r="D72" s="16"/>
    </row>
    <row r="73" spans="4:4" s="32" customFormat="1">
      <c r="D73" s="16"/>
    </row>
    <row r="74" spans="4:4" s="32" customFormat="1">
      <c r="D74" s="16"/>
    </row>
    <row r="75" spans="4:4" s="32" customFormat="1">
      <c r="D75" s="16"/>
    </row>
    <row r="76" spans="4:4" s="32" customFormat="1">
      <c r="D76" s="16"/>
    </row>
    <row r="77" spans="4:4" s="32" customFormat="1">
      <c r="D77" s="16"/>
    </row>
    <row r="78" spans="4:4" s="32" customFormat="1">
      <c r="D78" s="16"/>
    </row>
    <row r="79" spans="4:4" s="32" customFormat="1">
      <c r="D79" s="16"/>
    </row>
    <row r="80" spans="4:4" s="32" customFormat="1">
      <c r="D80" s="16"/>
    </row>
    <row r="81" spans="4:4" s="32" customFormat="1">
      <c r="D81" s="16"/>
    </row>
    <row r="82" spans="4:4" s="32" customFormat="1">
      <c r="D82" s="16"/>
    </row>
    <row r="83" spans="4:4" s="32" customFormat="1">
      <c r="D83" s="16"/>
    </row>
    <row r="84" spans="4:4" s="32" customFormat="1">
      <c r="D84" s="16"/>
    </row>
    <row r="85" spans="4:4" s="32" customFormat="1">
      <c r="D85" s="16"/>
    </row>
    <row r="86" spans="4:4" s="32" customFormat="1">
      <c r="D86" s="16"/>
    </row>
    <row r="87" spans="4:4" s="32" customFormat="1">
      <c r="D87" s="16"/>
    </row>
    <row r="88" spans="4:4" s="32" customFormat="1">
      <c r="D88" s="16"/>
    </row>
    <row r="89" spans="4:4" s="32" customFormat="1">
      <c r="D89" s="16"/>
    </row>
    <row r="90" spans="4:4" s="32" customFormat="1">
      <c r="D90" s="16"/>
    </row>
    <row r="91" spans="4:4" s="32" customFormat="1">
      <c r="D91" s="16"/>
    </row>
    <row r="92" spans="4:4" s="32" customFormat="1">
      <c r="D92" s="16"/>
    </row>
    <row r="93" spans="4:4" s="32" customFormat="1">
      <c r="D93" s="16"/>
    </row>
    <row r="94" spans="4:4" s="32" customFormat="1">
      <c r="D94" s="16"/>
    </row>
    <row r="95" spans="4:4" s="32" customFormat="1">
      <c r="D95" s="16"/>
    </row>
    <row r="96" spans="4:4" s="32" customFormat="1">
      <c r="D96" s="16"/>
    </row>
    <row r="97" spans="4:4" s="32" customFormat="1">
      <c r="D97" s="16"/>
    </row>
    <row r="98" spans="4:4" s="32" customFormat="1">
      <c r="D98" s="16"/>
    </row>
    <row r="99" spans="4:4" s="32" customFormat="1">
      <c r="D99" s="16"/>
    </row>
    <row r="100" spans="4:4" s="32" customFormat="1">
      <c r="D100" s="16"/>
    </row>
    <row r="101" spans="4:4" s="32" customFormat="1">
      <c r="D101" s="16"/>
    </row>
    <row r="102" spans="4:4" s="32" customFormat="1">
      <c r="D102" s="16"/>
    </row>
    <row r="103" spans="4:4" s="32" customFormat="1">
      <c r="D103" s="16"/>
    </row>
    <row r="104" spans="4:4" s="32" customFormat="1">
      <c r="D104" s="16"/>
    </row>
    <row r="105" spans="4:4" s="32" customFormat="1">
      <c r="D105" s="16"/>
    </row>
    <row r="106" spans="4:4" s="32" customFormat="1">
      <c r="D106" s="16"/>
    </row>
    <row r="107" spans="4:4" s="32" customFormat="1">
      <c r="D107" s="16"/>
    </row>
    <row r="108" spans="4:4" s="32" customFormat="1">
      <c r="D108" s="16"/>
    </row>
    <row r="109" spans="4:4" s="32" customFormat="1">
      <c r="D109" s="16"/>
    </row>
    <row r="110" spans="4:4" s="32" customFormat="1">
      <c r="D110" s="16"/>
    </row>
    <row r="111" spans="4:4" s="32" customFormat="1">
      <c r="D111" s="16"/>
    </row>
    <row r="112" spans="4:4" s="32" customFormat="1">
      <c r="D112" s="16"/>
    </row>
    <row r="113" spans="4:4" s="32" customFormat="1">
      <c r="D113" s="16"/>
    </row>
    <row r="114" spans="4:4" s="32" customFormat="1">
      <c r="D114" s="16"/>
    </row>
    <row r="115" spans="4:4" s="32" customFormat="1">
      <c r="D115" s="16"/>
    </row>
    <row r="116" spans="4:4" s="32" customFormat="1">
      <c r="D116" s="16"/>
    </row>
    <row r="117" spans="4:4" s="32" customFormat="1">
      <c r="D117" s="16"/>
    </row>
    <row r="118" spans="4:4" s="32" customFormat="1">
      <c r="D118" s="16"/>
    </row>
    <row r="119" spans="4:4" s="32" customFormat="1">
      <c r="D119" s="16"/>
    </row>
    <row r="120" spans="4:4" s="32" customFormat="1">
      <c r="D120" s="16"/>
    </row>
    <row r="121" spans="4:4" s="32" customFormat="1">
      <c r="D121" s="16"/>
    </row>
    <row r="122" spans="4:4" s="32" customFormat="1">
      <c r="D122" s="16"/>
    </row>
    <row r="123" spans="4:4" s="32" customFormat="1">
      <c r="D123" s="16"/>
    </row>
    <row r="124" spans="4:4" s="32" customFormat="1">
      <c r="D124" s="16"/>
    </row>
    <row r="125" spans="4:4" s="32" customFormat="1">
      <c r="D125" s="16"/>
    </row>
    <row r="126" spans="4:4" s="32" customFormat="1">
      <c r="D126" s="16"/>
    </row>
    <row r="127" spans="4:4" s="32" customFormat="1">
      <c r="D127" s="16"/>
    </row>
    <row r="128" spans="4:4" s="32" customFormat="1">
      <c r="D128" s="16"/>
    </row>
    <row r="129" spans="4:4" s="32" customFormat="1">
      <c r="D129" s="16"/>
    </row>
    <row r="130" spans="4:4" s="32" customFormat="1">
      <c r="D130" s="16"/>
    </row>
    <row r="131" spans="4:4" s="32" customFormat="1">
      <c r="D131" s="16"/>
    </row>
    <row r="132" spans="4:4" s="32" customFormat="1">
      <c r="D132" s="16"/>
    </row>
    <row r="133" spans="4:4" s="32" customFormat="1">
      <c r="D133" s="16"/>
    </row>
    <row r="134" spans="4:4" s="32" customFormat="1">
      <c r="D134" s="16"/>
    </row>
    <row r="135" spans="4:4" s="32" customFormat="1">
      <c r="D135" s="16"/>
    </row>
    <row r="136" spans="4:4" s="32" customFormat="1">
      <c r="D136" s="16"/>
    </row>
    <row r="137" spans="4:4" s="32" customFormat="1">
      <c r="D137" s="16"/>
    </row>
    <row r="138" spans="4:4" s="32" customFormat="1">
      <c r="D138" s="16"/>
    </row>
    <row r="139" spans="4:4" s="32" customFormat="1">
      <c r="D139" s="16"/>
    </row>
    <row r="140" spans="4:4" s="32" customFormat="1">
      <c r="D140" s="16"/>
    </row>
    <row r="141" spans="4:4" s="32" customFormat="1">
      <c r="D141" s="16"/>
    </row>
    <row r="142" spans="4:4" s="32" customFormat="1">
      <c r="D142" s="16"/>
    </row>
  </sheetData>
  <mergeCells count="44">
    <mergeCell ref="C6:D6"/>
    <mergeCell ref="C7:D7"/>
    <mergeCell ref="D1:E1"/>
    <mergeCell ref="H1:J1"/>
    <mergeCell ref="D2:E2"/>
    <mergeCell ref="H2:J2"/>
    <mergeCell ref="D3:E3"/>
    <mergeCell ref="H3:J3"/>
    <mergeCell ref="H4:I4"/>
    <mergeCell ref="C8:D8"/>
    <mergeCell ref="C12:D12"/>
    <mergeCell ref="C13:D13"/>
    <mergeCell ref="C14:D14"/>
    <mergeCell ref="C9:D9"/>
    <mergeCell ref="C10:D10"/>
    <mergeCell ref="C11:D11"/>
    <mergeCell ref="C20:D20"/>
    <mergeCell ref="C21:D21"/>
    <mergeCell ref="C22:D22"/>
    <mergeCell ref="C23:D23"/>
    <mergeCell ref="C24:D24"/>
    <mergeCell ref="C15:D15"/>
    <mergeCell ref="C16:D16"/>
    <mergeCell ref="C17:D17"/>
    <mergeCell ref="C18:D18"/>
    <mergeCell ref="C19:D19"/>
    <mergeCell ref="E24:H24"/>
    <mergeCell ref="C27:D27"/>
    <mergeCell ref="C28:D28"/>
    <mergeCell ref="C36:D36"/>
    <mergeCell ref="C37:D37"/>
    <mergeCell ref="C26:D26"/>
    <mergeCell ref="C29:D29"/>
    <mergeCell ref="C30:D30"/>
    <mergeCell ref="C31:D31"/>
    <mergeCell ref="C39:D39"/>
    <mergeCell ref="C33:C34"/>
    <mergeCell ref="C41:J41"/>
    <mergeCell ref="C32:D32"/>
    <mergeCell ref="C44:M44"/>
    <mergeCell ref="C35:D35"/>
    <mergeCell ref="C40:D40"/>
    <mergeCell ref="C42:J43"/>
    <mergeCell ref="C38:D38"/>
  </mergeCells>
  <phoneticPr fontId="0"/>
  <pageMargins left="0.66" right="0.27" top="0.35" bottom="0.33" header="0.21" footer="0.17"/>
  <pageSetup scale="71" orientation="portrait" horizontalDpi="4000" verticalDpi="4000"/>
  <headerFooter alignWithMargins="0">
    <oddHeader>&amp;CReef Check Belt Transect - Invertebrates</oddHeader>
    <oddFooter>&amp;CIndo-Pacific 2010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D72F-2762-7440-AFFF-9AC74A725035}">
  <sheetPr codeName="工作表7"/>
  <dimension ref="A1:B42"/>
  <sheetViews>
    <sheetView workbookViewId="0">
      <selection activeCell="F20" sqref="F20"/>
    </sheetView>
  </sheetViews>
  <sheetFormatPr baseColWidth="10" defaultRowHeight="13"/>
  <cols>
    <col min="1" max="1" width="15.83203125" customWidth="1"/>
    <col min="2" max="2" width="31.33203125" customWidth="1"/>
  </cols>
  <sheetData>
    <row r="1" spans="1:2" ht="15">
      <c r="A1" s="111" t="s">
        <v>59</v>
      </c>
      <c r="B1" s="111" t="s">
        <v>60</v>
      </c>
    </row>
    <row r="2" spans="1:2" ht="14">
      <c r="A2" s="112" t="s">
        <v>61</v>
      </c>
      <c r="B2" s="113" t="s">
        <v>62</v>
      </c>
    </row>
    <row r="3" spans="1:2" ht="14">
      <c r="A3" s="112" t="s">
        <v>63</v>
      </c>
      <c r="B3" s="113" t="s">
        <v>64</v>
      </c>
    </row>
    <row r="4" spans="1:2" ht="14">
      <c r="A4" s="112" t="s">
        <v>65</v>
      </c>
      <c r="B4" s="113" t="s">
        <v>66</v>
      </c>
    </row>
    <row r="5" spans="1:2" ht="14">
      <c r="A5" s="112" t="s">
        <v>67</v>
      </c>
      <c r="B5" s="113" t="s">
        <v>68</v>
      </c>
    </row>
    <row r="6" spans="1:2" ht="14">
      <c r="A6" s="112" t="s">
        <v>69</v>
      </c>
      <c r="B6" s="113" t="s">
        <v>70</v>
      </c>
    </row>
    <row r="7" spans="1:2" ht="14">
      <c r="A7" s="112" t="s">
        <v>71</v>
      </c>
      <c r="B7" s="113" t="s">
        <v>72</v>
      </c>
    </row>
    <row r="8" spans="1:2" ht="14">
      <c r="A8" s="112" t="s">
        <v>73</v>
      </c>
      <c r="B8" s="113" t="s">
        <v>74</v>
      </c>
    </row>
    <row r="9" spans="1:2" ht="14">
      <c r="A9" s="112" t="s">
        <v>75</v>
      </c>
      <c r="B9" s="113" t="s">
        <v>76</v>
      </c>
    </row>
    <row r="10" spans="1:2" ht="14">
      <c r="A10" s="112" t="s">
        <v>77</v>
      </c>
      <c r="B10" s="113" t="s">
        <v>78</v>
      </c>
    </row>
    <row r="11" spans="1:2" ht="14">
      <c r="A11" s="112" t="s">
        <v>79</v>
      </c>
      <c r="B11" s="113" t="s">
        <v>80</v>
      </c>
    </row>
    <row r="12" spans="1:2" ht="14">
      <c r="A12" s="112" t="s">
        <v>81</v>
      </c>
      <c r="B12" s="113" t="s">
        <v>82</v>
      </c>
    </row>
    <row r="13" spans="1:2" ht="14">
      <c r="A13" s="112" t="s">
        <v>83</v>
      </c>
      <c r="B13" s="113" t="s">
        <v>84</v>
      </c>
    </row>
    <row r="14" spans="1:2" ht="14">
      <c r="A14" s="112" t="s">
        <v>85</v>
      </c>
      <c r="B14" s="113" t="s">
        <v>86</v>
      </c>
    </row>
    <row r="15" spans="1:2" ht="14">
      <c r="A15" s="112" t="s">
        <v>87</v>
      </c>
      <c r="B15" s="113" t="s">
        <v>88</v>
      </c>
    </row>
    <row r="16" spans="1:2" ht="14">
      <c r="A16" s="112" t="s">
        <v>89</v>
      </c>
      <c r="B16" s="113" t="s">
        <v>90</v>
      </c>
    </row>
    <row r="17" spans="1:2" ht="14">
      <c r="A17" s="112" t="s">
        <v>91</v>
      </c>
      <c r="B17" s="113" t="s">
        <v>92</v>
      </c>
    </row>
    <row r="18" spans="1:2" ht="14">
      <c r="A18" s="112" t="s">
        <v>93</v>
      </c>
      <c r="B18" s="113" t="s">
        <v>94</v>
      </c>
    </row>
    <row r="19" spans="1:2" ht="14">
      <c r="A19" s="112" t="s">
        <v>95</v>
      </c>
      <c r="B19" s="113" t="s">
        <v>96</v>
      </c>
    </row>
    <row r="20" spans="1:2" ht="14">
      <c r="A20" s="112" t="s">
        <v>97</v>
      </c>
      <c r="B20" s="113" t="s">
        <v>98</v>
      </c>
    </row>
    <row r="21" spans="1:2" ht="14">
      <c r="A21" s="112" t="s">
        <v>99</v>
      </c>
      <c r="B21" s="113" t="s">
        <v>100</v>
      </c>
    </row>
    <row r="22" spans="1:2" ht="14">
      <c r="A22" s="112" t="s">
        <v>101</v>
      </c>
      <c r="B22" s="113" t="s">
        <v>102</v>
      </c>
    </row>
    <row r="23" spans="1:2" ht="14">
      <c r="A23" s="112" t="s">
        <v>103</v>
      </c>
      <c r="B23" s="113" t="s">
        <v>104</v>
      </c>
    </row>
    <row r="24" spans="1:2" ht="14">
      <c r="A24" s="112" t="s">
        <v>105</v>
      </c>
      <c r="B24" s="113" t="s">
        <v>106</v>
      </c>
    </row>
    <row r="25" spans="1:2" ht="14">
      <c r="A25" s="112" t="s">
        <v>107</v>
      </c>
      <c r="B25" s="113" t="s">
        <v>108</v>
      </c>
    </row>
    <row r="26" spans="1:2" ht="14">
      <c r="A26" s="112" t="s">
        <v>109</v>
      </c>
      <c r="B26" s="113" t="s">
        <v>110</v>
      </c>
    </row>
    <row r="27" spans="1:2" ht="14">
      <c r="A27" s="112" t="s">
        <v>111</v>
      </c>
      <c r="B27" s="113" t="s">
        <v>112</v>
      </c>
    </row>
    <row r="28" spans="1:2" ht="14">
      <c r="A28" s="112" t="s">
        <v>113</v>
      </c>
      <c r="B28" s="113" t="s">
        <v>114</v>
      </c>
    </row>
    <row r="29" spans="1:2" ht="14">
      <c r="A29" s="112" t="s">
        <v>115</v>
      </c>
      <c r="B29" s="113" t="s">
        <v>116</v>
      </c>
    </row>
    <row r="30" spans="1:2" ht="14">
      <c r="A30" s="112" t="s">
        <v>117</v>
      </c>
      <c r="B30" s="113" t="s">
        <v>118</v>
      </c>
    </row>
    <row r="31" spans="1:2" ht="14">
      <c r="A31" s="112" t="s">
        <v>119</v>
      </c>
      <c r="B31" s="113" t="s">
        <v>120</v>
      </c>
    </row>
    <row r="32" spans="1:2" ht="14">
      <c r="A32" s="112" t="s">
        <v>121</v>
      </c>
      <c r="B32" s="113" t="s">
        <v>122</v>
      </c>
    </row>
    <row r="33" spans="1:2" ht="14">
      <c r="A33" s="112" t="s">
        <v>123</v>
      </c>
      <c r="B33" s="113" t="s">
        <v>124</v>
      </c>
    </row>
    <row r="34" spans="1:2" ht="14">
      <c r="A34" s="112" t="s">
        <v>125</v>
      </c>
      <c r="B34" s="113" t="s">
        <v>126</v>
      </c>
    </row>
    <row r="35" spans="1:2" ht="14">
      <c r="A35" s="112" t="s">
        <v>127</v>
      </c>
      <c r="B35" s="113" t="s">
        <v>128</v>
      </c>
    </row>
    <row r="36" spans="1:2" ht="14">
      <c r="A36" s="112" t="s">
        <v>129</v>
      </c>
      <c r="B36" s="113" t="s">
        <v>130</v>
      </c>
    </row>
    <row r="37" spans="1:2" ht="14">
      <c r="A37" s="112" t="s">
        <v>131</v>
      </c>
      <c r="B37" s="113" t="s">
        <v>132</v>
      </c>
    </row>
    <row r="38" spans="1:2" ht="14">
      <c r="A38" s="112" t="s">
        <v>133</v>
      </c>
      <c r="B38" s="113" t="s">
        <v>134</v>
      </c>
    </row>
    <row r="39" spans="1:2" ht="14">
      <c r="A39" s="112" t="s">
        <v>135</v>
      </c>
      <c r="B39" s="113" t="s">
        <v>136</v>
      </c>
    </row>
    <row r="40" spans="1:2" ht="14">
      <c r="A40" s="112" t="s">
        <v>137</v>
      </c>
      <c r="B40" s="113" t="s">
        <v>138</v>
      </c>
    </row>
    <row r="41" spans="1:2" ht="14">
      <c r="A41" s="112" t="s">
        <v>139</v>
      </c>
      <c r="B41" s="113" t="s">
        <v>140</v>
      </c>
    </row>
    <row r="42" spans="1:2" ht="14">
      <c r="A42" s="112" t="s">
        <v>141</v>
      </c>
      <c r="B42" s="113" t="s">
        <v>142</v>
      </c>
    </row>
  </sheetData>
  <phoneticPr fontId="3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7</vt:i4>
      </vt:variant>
      <vt:variant>
        <vt:lpstr>具名範圍</vt:lpstr>
      </vt:variant>
      <vt:variant>
        <vt:i4>5</vt:i4>
      </vt:variant>
    </vt:vector>
  </HeadingPairs>
  <TitlesOfParts>
    <vt:vector size="12" baseType="lpstr">
      <vt:lpstr>DATA</vt:lpstr>
      <vt:lpstr>GRAPHS</vt:lpstr>
      <vt:lpstr>EXPORT</vt:lpstr>
      <vt:lpstr>INSTRUCTIONS</vt:lpstr>
      <vt:lpstr>FIELD SHEET FISH</vt:lpstr>
      <vt:lpstr>FIELD SHEET INVERTS</vt:lpstr>
      <vt:lpstr>siteName</vt:lpstr>
      <vt:lpstr>DATA!Print_Area</vt:lpstr>
      <vt:lpstr>'FIELD SHEET FISH'!Print_Area</vt:lpstr>
      <vt:lpstr>'FIELD SHEET INVERTS'!Print_Area</vt:lpstr>
      <vt:lpstr>GRAPHS!Print_Area</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Atlantic Belt Transect</dc:title>
  <dc:subject>Reef Check</dc:subject>
  <dc:creator/>
  <cp:keywords/>
  <dc:description/>
  <cp:lastModifiedBy/>
  <cp:lastPrinted>2010-04-02T19:08:32Z</cp:lastPrinted>
  <dcterms:created xsi:type="dcterms:W3CDTF">1998-04-15T08:38:29Z</dcterms:created>
  <dcterms:modified xsi:type="dcterms:W3CDTF">2026-05-08T10:24:41Z</dcterms:modified>
</cp:coreProperties>
</file>